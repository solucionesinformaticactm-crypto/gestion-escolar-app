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sar\Desktop\Solucionesinformaticactm@gmail\"/>
    </mc:Choice>
  </mc:AlternateContent>
  <xr:revisionPtr revIDLastSave="0" documentId="8_{2356E244-FD54-4818-A638-678143C19D75}" xr6:coauthVersionLast="47" xr6:coauthVersionMax="47" xr10:uidLastSave="{00000000-0000-0000-0000-000000000000}"/>
  <bookViews>
    <workbookView xWindow="-120" yWindow="-120" windowWidth="20730" windowHeight="11040" tabRatio="669" firstSheet="2" activeTab="2" xr2:uid="{00000000-000D-0000-FFFF-FFFF00000000}"/>
  </bookViews>
  <sheets>
    <sheet name="Dashboard" sheetId="1" state="hidden" r:id="rId1"/>
    <sheet name="Instrucciones" sheetId="2" state="hidden" r:id="rId2"/>
    <sheet name="Alumnos" sheetId="3" r:id="rId3"/>
    <sheet name="Profesores" sheetId="4" r:id="rId4"/>
    <sheet name="Plan_Materias" sheetId="5" r:id="rId5"/>
    <sheet name="Notas" sheetId="6" r:id="rId6"/>
    <sheet name="Asistenci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1" i="7" l="1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K241" i="6"/>
  <c r="L241" i="6" s="1"/>
  <c r="G241" i="6"/>
  <c r="B241" i="6"/>
  <c r="K240" i="6"/>
  <c r="L240" i="6" s="1"/>
  <c r="G240" i="6"/>
  <c r="B240" i="6"/>
  <c r="K239" i="6"/>
  <c r="L239" i="6" s="1"/>
  <c r="G239" i="6"/>
  <c r="B239" i="6"/>
  <c r="L238" i="6"/>
  <c r="K238" i="6"/>
  <c r="G238" i="6"/>
  <c r="B238" i="6"/>
  <c r="K237" i="6"/>
  <c r="L237" i="6" s="1"/>
  <c r="G237" i="6"/>
  <c r="B237" i="6"/>
  <c r="L236" i="6"/>
  <c r="K236" i="6"/>
  <c r="G236" i="6"/>
  <c r="B236" i="6"/>
  <c r="K235" i="6"/>
  <c r="L235" i="6" s="1"/>
  <c r="G235" i="6"/>
  <c r="B235" i="6"/>
  <c r="K234" i="6"/>
  <c r="C33" i="1" s="1"/>
  <c r="G234" i="6"/>
  <c r="B234" i="6"/>
  <c r="K233" i="6"/>
  <c r="L233" i="6" s="1"/>
  <c r="G233" i="6"/>
  <c r="B233" i="6"/>
  <c r="L232" i="6"/>
  <c r="K232" i="6"/>
  <c r="G232" i="6"/>
  <c r="B232" i="6"/>
  <c r="K231" i="6"/>
  <c r="L231" i="6" s="1"/>
  <c r="G231" i="6"/>
  <c r="B231" i="6"/>
  <c r="K230" i="6"/>
  <c r="L230" i="6" s="1"/>
  <c r="G230" i="6"/>
  <c r="B230" i="6"/>
  <c r="K229" i="6"/>
  <c r="L229" i="6" s="1"/>
  <c r="G229" i="6"/>
  <c r="B229" i="6"/>
  <c r="L228" i="6"/>
  <c r="K228" i="6"/>
  <c r="G228" i="6"/>
  <c r="B228" i="6"/>
  <c r="K227" i="6"/>
  <c r="L227" i="6" s="1"/>
  <c r="G227" i="6"/>
  <c r="B227" i="6"/>
  <c r="K226" i="6"/>
  <c r="L226" i="6" s="1"/>
  <c r="G226" i="6"/>
  <c r="B226" i="6"/>
  <c r="K225" i="6"/>
  <c r="L225" i="6" s="1"/>
  <c r="G225" i="6"/>
  <c r="B225" i="6"/>
  <c r="K224" i="6"/>
  <c r="L224" i="6" s="1"/>
  <c r="G224" i="6"/>
  <c r="B224" i="6"/>
  <c r="K223" i="6"/>
  <c r="L223" i="6" s="1"/>
  <c r="G223" i="6"/>
  <c r="B223" i="6"/>
  <c r="L222" i="6"/>
  <c r="K222" i="6"/>
  <c r="G222" i="6"/>
  <c r="B222" i="6"/>
  <c r="K221" i="6"/>
  <c r="L221" i="6" s="1"/>
  <c r="G221" i="6"/>
  <c r="B221" i="6"/>
  <c r="L220" i="6"/>
  <c r="K220" i="6"/>
  <c r="G220" i="6"/>
  <c r="B220" i="6"/>
  <c r="K219" i="6"/>
  <c r="L219" i="6" s="1"/>
  <c r="G219" i="6"/>
  <c r="B219" i="6"/>
  <c r="K218" i="6"/>
  <c r="L218" i="6" s="1"/>
  <c r="G218" i="6"/>
  <c r="B218" i="6"/>
  <c r="K217" i="6"/>
  <c r="L217" i="6" s="1"/>
  <c r="G217" i="6"/>
  <c r="B217" i="6"/>
  <c r="L216" i="6"/>
  <c r="K216" i="6"/>
  <c r="G216" i="6"/>
  <c r="B216" i="6"/>
  <c r="K215" i="6"/>
  <c r="L215" i="6" s="1"/>
  <c r="G215" i="6"/>
  <c r="B215" i="6"/>
  <c r="K214" i="6"/>
  <c r="L214" i="6" s="1"/>
  <c r="G214" i="6"/>
  <c r="B214" i="6"/>
  <c r="K213" i="6"/>
  <c r="L213" i="6" s="1"/>
  <c r="G213" i="6"/>
  <c r="B213" i="6"/>
  <c r="L212" i="6"/>
  <c r="K212" i="6"/>
  <c r="G212" i="6"/>
  <c r="B212" i="6"/>
  <c r="K211" i="6"/>
  <c r="L211" i="6" s="1"/>
  <c r="G211" i="6"/>
  <c r="B211" i="6"/>
  <c r="K210" i="6"/>
  <c r="L210" i="6" s="1"/>
  <c r="G210" i="6"/>
  <c r="B210" i="6"/>
  <c r="K209" i="6"/>
  <c r="L209" i="6" s="1"/>
  <c r="G209" i="6"/>
  <c r="B209" i="6"/>
  <c r="K208" i="6"/>
  <c r="L208" i="6" s="1"/>
  <c r="G208" i="6"/>
  <c r="B208" i="6"/>
  <c r="K207" i="6"/>
  <c r="L207" i="6" s="1"/>
  <c r="G207" i="6"/>
  <c r="B207" i="6"/>
  <c r="L206" i="6"/>
  <c r="K206" i="6"/>
  <c r="G206" i="6"/>
  <c r="B206" i="6"/>
  <c r="K205" i="6"/>
  <c r="L205" i="6" s="1"/>
  <c r="G205" i="6"/>
  <c r="B205" i="6"/>
  <c r="L204" i="6"/>
  <c r="K204" i="6"/>
  <c r="G204" i="6"/>
  <c r="B204" i="6"/>
  <c r="K203" i="6"/>
  <c r="L203" i="6" s="1"/>
  <c r="G203" i="6"/>
  <c r="B203" i="6"/>
  <c r="K202" i="6"/>
  <c r="L202" i="6" s="1"/>
  <c r="G202" i="6"/>
  <c r="B202" i="6"/>
  <c r="K201" i="6"/>
  <c r="L201" i="6" s="1"/>
  <c r="G201" i="6"/>
  <c r="B201" i="6"/>
  <c r="L200" i="6"/>
  <c r="K200" i="6"/>
  <c r="G200" i="6"/>
  <c r="B200" i="6"/>
  <c r="K199" i="6"/>
  <c r="L199" i="6" s="1"/>
  <c r="G199" i="6"/>
  <c r="B199" i="6"/>
  <c r="K198" i="6"/>
  <c r="L198" i="6" s="1"/>
  <c r="G198" i="6"/>
  <c r="B198" i="6"/>
  <c r="K197" i="6"/>
  <c r="L197" i="6" s="1"/>
  <c r="G197" i="6"/>
  <c r="B197" i="6"/>
  <c r="L196" i="6"/>
  <c r="K196" i="6"/>
  <c r="G196" i="6"/>
  <c r="B196" i="6"/>
  <c r="K195" i="6"/>
  <c r="L195" i="6" s="1"/>
  <c r="G195" i="6"/>
  <c r="B195" i="6"/>
  <c r="K194" i="6"/>
  <c r="L194" i="6" s="1"/>
  <c r="G194" i="6"/>
  <c r="B194" i="6"/>
  <c r="K193" i="6"/>
  <c r="L193" i="6" s="1"/>
  <c r="G193" i="6"/>
  <c r="B193" i="6"/>
  <c r="K192" i="6"/>
  <c r="L192" i="6" s="1"/>
  <c r="G192" i="6"/>
  <c r="B192" i="6"/>
  <c r="K191" i="6"/>
  <c r="L191" i="6" s="1"/>
  <c r="G191" i="6"/>
  <c r="B191" i="6"/>
  <c r="L190" i="6"/>
  <c r="K190" i="6"/>
  <c r="G190" i="6"/>
  <c r="B190" i="6"/>
  <c r="K189" i="6"/>
  <c r="L189" i="6" s="1"/>
  <c r="G189" i="6"/>
  <c r="B189" i="6"/>
  <c r="L188" i="6"/>
  <c r="K188" i="6"/>
  <c r="G188" i="6"/>
  <c r="B188" i="6"/>
  <c r="K187" i="6"/>
  <c r="L187" i="6" s="1"/>
  <c r="G187" i="6"/>
  <c r="B187" i="6"/>
  <c r="K186" i="6"/>
  <c r="L186" i="6" s="1"/>
  <c r="G186" i="6"/>
  <c r="B186" i="6"/>
  <c r="K185" i="6"/>
  <c r="L185" i="6" s="1"/>
  <c r="G185" i="6"/>
  <c r="B185" i="6"/>
  <c r="L184" i="6"/>
  <c r="K184" i="6"/>
  <c r="G184" i="6"/>
  <c r="B184" i="6"/>
  <c r="K183" i="6"/>
  <c r="L183" i="6" s="1"/>
  <c r="G183" i="6"/>
  <c r="B183" i="6"/>
  <c r="K182" i="6"/>
  <c r="L182" i="6" s="1"/>
  <c r="G182" i="6"/>
  <c r="B182" i="6"/>
  <c r="K181" i="6"/>
  <c r="L181" i="6" s="1"/>
  <c r="G181" i="6"/>
  <c r="B181" i="6"/>
  <c r="L180" i="6"/>
  <c r="K180" i="6"/>
  <c r="G180" i="6"/>
  <c r="B180" i="6"/>
  <c r="K179" i="6"/>
  <c r="L179" i="6" s="1"/>
  <c r="G179" i="6"/>
  <c r="B179" i="6"/>
  <c r="K178" i="6"/>
  <c r="L178" i="6" s="1"/>
  <c r="G178" i="6"/>
  <c r="B178" i="6"/>
  <c r="K177" i="6"/>
  <c r="L177" i="6" s="1"/>
  <c r="G177" i="6"/>
  <c r="B177" i="6"/>
  <c r="K176" i="6"/>
  <c r="L176" i="6" s="1"/>
  <c r="G176" i="6"/>
  <c r="B176" i="6"/>
  <c r="K175" i="6"/>
  <c r="L175" i="6" s="1"/>
  <c r="G175" i="6"/>
  <c r="B175" i="6"/>
  <c r="L174" i="6"/>
  <c r="K174" i="6"/>
  <c r="G174" i="6"/>
  <c r="B174" i="6"/>
  <c r="K173" i="6"/>
  <c r="L173" i="6" s="1"/>
  <c r="G173" i="6"/>
  <c r="B173" i="6"/>
  <c r="L172" i="6"/>
  <c r="K172" i="6"/>
  <c r="G172" i="6"/>
  <c r="B172" i="6"/>
  <c r="K171" i="6"/>
  <c r="L171" i="6" s="1"/>
  <c r="G171" i="6"/>
  <c r="B171" i="6"/>
  <c r="K170" i="6"/>
  <c r="L170" i="6" s="1"/>
  <c r="G170" i="6"/>
  <c r="B170" i="6"/>
  <c r="K169" i="6"/>
  <c r="L169" i="6" s="1"/>
  <c r="G169" i="6"/>
  <c r="B169" i="6"/>
  <c r="L168" i="6"/>
  <c r="K168" i="6"/>
  <c r="G168" i="6"/>
  <c r="B168" i="6"/>
  <c r="K167" i="6"/>
  <c r="L167" i="6" s="1"/>
  <c r="G167" i="6"/>
  <c r="B167" i="6"/>
  <c r="K166" i="6"/>
  <c r="L166" i="6" s="1"/>
  <c r="G166" i="6"/>
  <c r="B166" i="6"/>
  <c r="K165" i="6"/>
  <c r="L165" i="6" s="1"/>
  <c r="G165" i="6"/>
  <c r="B165" i="6"/>
  <c r="L164" i="6"/>
  <c r="K164" i="6"/>
  <c r="G164" i="6"/>
  <c r="B164" i="6"/>
  <c r="K163" i="6"/>
  <c r="L163" i="6" s="1"/>
  <c r="G163" i="6"/>
  <c r="B163" i="6"/>
  <c r="K162" i="6"/>
  <c r="L162" i="6" s="1"/>
  <c r="G162" i="6"/>
  <c r="B162" i="6"/>
  <c r="K161" i="6"/>
  <c r="L161" i="6" s="1"/>
  <c r="G161" i="6"/>
  <c r="B161" i="6"/>
  <c r="K160" i="6"/>
  <c r="L160" i="6" s="1"/>
  <c r="G160" i="6"/>
  <c r="B160" i="6"/>
  <c r="K159" i="6"/>
  <c r="L159" i="6" s="1"/>
  <c r="G159" i="6"/>
  <c r="B159" i="6"/>
  <c r="L158" i="6"/>
  <c r="K158" i="6"/>
  <c r="G158" i="6"/>
  <c r="B158" i="6"/>
  <c r="K157" i="6"/>
  <c r="L157" i="6" s="1"/>
  <c r="G157" i="6"/>
  <c r="B157" i="6"/>
  <c r="L156" i="6"/>
  <c r="K156" i="6"/>
  <c r="G156" i="6"/>
  <c r="B156" i="6"/>
  <c r="K155" i="6"/>
  <c r="L155" i="6" s="1"/>
  <c r="G155" i="6"/>
  <c r="B155" i="6"/>
  <c r="K154" i="6"/>
  <c r="C26" i="1" s="1"/>
  <c r="G154" i="6"/>
  <c r="B154" i="6"/>
  <c r="K153" i="6"/>
  <c r="L153" i="6" s="1"/>
  <c r="G153" i="6"/>
  <c r="B153" i="6"/>
  <c r="L152" i="6"/>
  <c r="K152" i="6"/>
  <c r="G152" i="6"/>
  <c r="B152" i="6"/>
  <c r="K151" i="6"/>
  <c r="L151" i="6" s="1"/>
  <c r="G151" i="6"/>
  <c r="B151" i="6"/>
  <c r="K150" i="6"/>
  <c r="L150" i="6" s="1"/>
  <c r="G150" i="6"/>
  <c r="B150" i="6"/>
  <c r="K149" i="6"/>
  <c r="L149" i="6" s="1"/>
  <c r="G149" i="6"/>
  <c r="B149" i="6"/>
  <c r="L148" i="6"/>
  <c r="K148" i="6"/>
  <c r="G148" i="6"/>
  <c r="B148" i="6"/>
  <c r="K147" i="6"/>
  <c r="L147" i="6" s="1"/>
  <c r="G147" i="6"/>
  <c r="B147" i="6"/>
  <c r="K146" i="6"/>
  <c r="L146" i="6" s="1"/>
  <c r="G146" i="6"/>
  <c r="B146" i="6"/>
  <c r="K145" i="6"/>
  <c r="L145" i="6" s="1"/>
  <c r="G145" i="6"/>
  <c r="B145" i="6"/>
  <c r="K144" i="6"/>
  <c r="L144" i="6" s="1"/>
  <c r="G144" i="6"/>
  <c r="B144" i="6"/>
  <c r="K143" i="6"/>
  <c r="L143" i="6" s="1"/>
  <c r="G143" i="6"/>
  <c r="B143" i="6"/>
  <c r="L142" i="6"/>
  <c r="K142" i="6"/>
  <c r="G142" i="6"/>
  <c r="B142" i="6"/>
  <c r="K141" i="6"/>
  <c r="L141" i="6" s="1"/>
  <c r="G141" i="6"/>
  <c r="B141" i="6"/>
  <c r="L140" i="6"/>
  <c r="K140" i="6"/>
  <c r="G140" i="6"/>
  <c r="B140" i="6"/>
  <c r="K139" i="6"/>
  <c r="L139" i="6" s="1"/>
  <c r="G139" i="6"/>
  <c r="B139" i="6"/>
  <c r="K138" i="6"/>
  <c r="L138" i="6" s="1"/>
  <c r="G138" i="6"/>
  <c r="B138" i="6"/>
  <c r="K137" i="6"/>
  <c r="L137" i="6" s="1"/>
  <c r="G137" i="6"/>
  <c r="B137" i="6"/>
  <c r="L136" i="6"/>
  <c r="K136" i="6"/>
  <c r="G136" i="6"/>
  <c r="B136" i="6"/>
  <c r="K135" i="6"/>
  <c r="L135" i="6" s="1"/>
  <c r="G135" i="6"/>
  <c r="B135" i="6"/>
  <c r="K134" i="6"/>
  <c r="L134" i="6" s="1"/>
  <c r="G134" i="6"/>
  <c r="B134" i="6"/>
  <c r="K133" i="6"/>
  <c r="L133" i="6" s="1"/>
  <c r="G133" i="6"/>
  <c r="B133" i="6"/>
  <c r="L132" i="6"/>
  <c r="K132" i="6"/>
  <c r="G132" i="6"/>
  <c r="B132" i="6"/>
  <c r="K131" i="6"/>
  <c r="L131" i="6" s="1"/>
  <c r="G131" i="6"/>
  <c r="B131" i="6"/>
  <c r="K130" i="6"/>
  <c r="L130" i="6" s="1"/>
  <c r="G130" i="6"/>
  <c r="B130" i="6"/>
  <c r="K129" i="6"/>
  <c r="L129" i="6" s="1"/>
  <c r="G129" i="6"/>
  <c r="B129" i="6"/>
  <c r="K128" i="6"/>
  <c r="L128" i="6" s="1"/>
  <c r="G128" i="6"/>
  <c r="B128" i="6"/>
  <c r="K127" i="6"/>
  <c r="L127" i="6" s="1"/>
  <c r="G127" i="6"/>
  <c r="B127" i="6"/>
  <c r="L126" i="6"/>
  <c r="K126" i="6"/>
  <c r="G126" i="6"/>
  <c r="B126" i="6"/>
  <c r="K125" i="6"/>
  <c r="L125" i="6" s="1"/>
  <c r="G125" i="6"/>
  <c r="B125" i="6"/>
  <c r="L124" i="6"/>
  <c r="K124" i="6"/>
  <c r="G124" i="6"/>
  <c r="B124" i="6"/>
  <c r="K123" i="6"/>
  <c r="L123" i="6" s="1"/>
  <c r="G123" i="6"/>
  <c r="B123" i="6"/>
  <c r="K122" i="6"/>
  <c r="L122" i="6" s="1"/>
  <c r="G122" i="6"/>
  <c r="B122" i="6"/>
  <c r="K121" i="6"/>
  <c r="L121" i="6" s="1"/>
  <c r="G121" i="6"/>
  <c r="B121" i="6"/>
  <c r="L120" i="6"/>
  <c r="K120" i="6"/>
  <c r="G120" i="6"/>
  <c r="B120" i="6"/>
  <c r="K119" i="6"/>
  <c r="L119" i="6" s="1"/>
  <c r="G119" i="6"/>
  <c r="B119" i="6"/>
  <c r="K118" i="6"/>
  <c r="L118" i="6" s="1"/>
  <c r="G118" i="6"/>
  <c r="B118" i="6"/>
  <c r="K117" i="6"/>
  <c r="L117" i="6" s="1"/>
  <c r="G117" i="6"/>
  <c r="B117" i="6"/>
  <c r="L116" i="6"/>
  <c r="K116" i="6"/>
  <c r="G116" i="6"/>
  <c r="B116" i="6"/>
  <c r="K115" i="6"/>
  <c r="L115" i="6" s="1"/>
  <c r="G115" i="6"/>
  <c r="B115" i="6"/>
  <c r="K114" i="6"/>
  <c r="L114" i="6" s="1"/>
  <c r="G114" i="6"/>
  <c r="B114" i="6"/>
  <c r="K113" i="6"/>
  <c r="L113" i="6" s="1"/>
  <c r="G113" i="6"/>
  <c r="B113" i="6"/>
  <c r="K112" i="6"/>
  <c r="L112" i="6" s="1"/>
  <c r="G112" i="6"/>
  <c r="B112" i="6"/>
  <c r="K111" i="6"/>
  <c r="L111" i="6" s="1"/>
  <c r="G111" i="6"/>
  <c r="B111" i="6"/>
  <c r="L110" i="6"/>
  <c r="K110" i="6"/>
  <c r="G110" i="6"/>
  <c r="B110" i="6"/>
  <c r="K109" i="6"/>
  <c r="L109" i="6" s="1"/>
  <c r="G109" i="6"/>
  <c r="B109" i="6"/>
  <c r="L108" i="6"/>
  <c r="K108" i="6"/>
  <c r="G108" i="6"/>
  <c r="B108" i="6"/>
  <c r="K107" i="6"/>
  <c r="L107" i="6" s="1"/>
  <c r="G107" i="6"/>
  <c r="B107" i="6"/>
  <c r="K106" i="6"/>
  <c r="C29" i="1" s="1"/>
  <c r="G106" i="6"/>
  <c r="B106" i="6"/>
  <c r="K105" i="6"/>
  <c r="L105" i="6" s="1"/>
  <c r="G105" i="6"/>
  <c r="B105" i="6"/>
  <c r="L104" i="6"/>
  <c r="K104" i="6"/>
  <c r="G104" i="6"/>
  <c r="B104" i="6"/>
  <c r="K103" i="6"/>
  <c r="L103" i="6" s="1"/>
  <c r="G103" i="6"/>
  <c r="B103" i="6"/>
  <c r="K102" i="6"/>
  <c r="L102" i="6" s="1"/>
  <c r="G102" i="6"/>
  <c r="B102" i="6"/>
  <c r="K101" i="6"/>
  <c r="L101" i="6" s="1"/>
  <c r="G101" i="6"/>
  <c r="B101" i="6"/>
  <c r="L100" i="6"/>
  <c r="K100" i="6"/>
  <c r="G100" i="6"/>
  <c r="B100" i="6"/>
  <c r="K99" i="6"/>
  <c r="L99" i="6" s="1"/>
  <c r="G99" i="6"/>
  <c r="B99" i="6"/>
  <c r="K98" i="6"/>
  <c r="L98" i="6" s="1"/>
  <c r="G98" i="6"/>
  <c r="B98" i="6"/>
  <c r="K97" i="6"/>
  <c r="L97" i="6" s="1"/>
  <c r="G97" i="6"/>
  <c r="B97" i="6"/>
  <c r="K96" i="6"/>
  <c r="L96" i="6" s="1"/>
  <c r="G96" i="6"/>
  <c r="B96" i="6"/>
  <c r="K95" i="6"/>
  <c r="L95" i="6" s="1"/>
  <c r="G95" i="6"/>
  <c r="B95" i="6"/>
  <c r="L94" i="6"/>
  <c r="K94" i="6"/>
  <c r="G94" i="6"/>
  <c r="B94" i="6"/>
  <c r="K93" i="6"/>
  <c r="L93" i="6" s="1"/>
  <c r="G93" i="6"/>
  <c r="B93" i="6"/>
  <c r="L92" i="6"/>
  <c r="K92" i="6"/>
  <c r="G92" i="6"/>
  <c r="B92" i="6"/>
  <c r="K91" i="6"/>
  <c r="L91" i="6" s="1"/>
  <c r="G91" i="6"/>
  <c r="B91" i="6"/>
  <c r="K90" i="6"/>
  <c r="L90" i="6" s="1"/>
  <c r="G90" i="6"/>
  <c r="B90" i="6"/>
  <c r="K89" i="6"/>
  <c r="L89" i="6" s="1"/>
  <c r="G89" i="6"/>
  <c r="B89" i="6"/>
  <c r="L88" i="6"/>
  <c r="K88" i="6"/>
  <c r="G88" i="6"/>
  <c r="B88" i="6"/>
  <c r="K87" i="6"/>
  <c r="L87" i="6" s="1"/>
  <c r="G87" i="6"/>
  <c r="B87" i="6"/>
  <c r="K86" i="6"/>
  <c r="L86" i="6" s="1"/>
  <c r="G86" i="6"/>
  <c r="B86" i="6"/>
  <c r="K85" i="6"/>
  <c r="L85" i="6" s="1"/>
  <c r="G85" i="6"/>
  <c r="B85" i="6"/>
  <c r="L84" i="6"/>
  <c r="K84" i="6"/>
  <c r="G84" i="6"/>
  <c r="B84" i="6"/>
  <c r="K83" i="6"/>
  <c r="L83" i="6" s="1"/>
  <c r="G83" i="6"/>
  <c r="B83" i="6"/>
  <c r="K82" i="6"/>
  <c r="L82" i="6" s="1"/>
  <c r="G82" i="6"/>
  <c r="B82" i="6"/>
  <c r="K81" i="6"/>
  <c r="L81" i="6" s="1"/>
  <c r="G81" i="6"/>
  <c r="B81" i="6"/>
  <c r="K80" i="6"/>
  <c r="L80" i="6" s="1"/>
  <c r="G80" i="6"/>
  <c r="B80" i="6"/>
  <c r="K79" i="6"/>
  <c r="L79" i="6" s="1"/>
  <c r="G79" i="6"/>
  <c r="B79" i="6"/>
  <c r="L78" i="6"/>
  <c r="K78" i="6"/>
  <c r="G78" i="6"/>
  <c r="B78" i="6"/>
  <c r="K77" i="6"/>
  <c r="L77" i="6" s="1"/>
  <c r="G77" i="6"/>
  <c r="B77" i="6"/>
  <c r="L76" i="6"/>
  <c r="K76" i="6"/>
  <c r="G76" i="6"/>
  <c r="B76" i="6"/>
  <c r="K75" i="6"/>
  <c r="L75" i="6" s="1"/>
  <c r="G75" i="6"/>
  <c r="B75" i="6"/>
  <c r="K74" i="6"/>
  <c r="C24" i="1" s="1"/>
  <c r="G74" i="6"/>
  <c r="B74" i="6"/>
  <c r="K73" i="6"/>
  <c r="L73" i="6" s="1"/>
  <c r="G73" i="6"/>
  <c r="B73" i="6"/>
  <c r="L72" i="6"/>
  <c r="K72" i="6"/>
  <c r="G72" i="6"/>
  <c r="B72" i="6"/>
  <c r="K71" i="6"/>
  <c r="L71" i="6" s="1"/>
  <c r="G71" i="6"/>
  <c r="B71" i="6"/>
  <c r="L70" i="6"/>
  <c r="K70" i="6"/>
  <c r="G70" i="6"/>
  <c r="B70" i="6"/>
  <c r="K69" i="6"/>
  <c r="L69" i="6" s="1"/>
  <c r="G69" i="6"/>
  <c r="B69" i="6"/>
  <c r="L68" i="6"/>
  <c r="K68" i="6"/>
  <c r="G68" i="6"/>
  <c r="B68" i="6"/>
  <c r="K67" i="6"/>
  <c r="L67" i="6" s="1"/>
  <c r="G67" i="6"/>
  <c r="B67" i="6"/>
  <c r="L66" i="6"/>
  <c r="K66" i="6"/>
  <c r="G66" i="6"/>
  <c r="B66" i="6"/>
  <c r="K65" i="6"/>
  <c r="L65" i="6" s="1"/>
  <c r="G65" i="6"/>
  <c r="B65" i="6"/>
  <c r="L64" i="6"/>
  <c r="K64" i="6"/>
  <c r="G64" i="6"/>
  <c r="B64" i="6"/>
  <c r="K63" i="6"/>
  <c r="L63" i="6" s="1"/>
  <c r="G63" i="6"/>
  <c r="B63" i="6"/>
  <c r="L62" i="6"/>
  <c r="K62" i="6"/>
  <c r="G62" i="6"/>
  <c r="B62" i="6"/>
  <c r="K61" i="6"/>
  <c r="L61" i="6" s="1"/>
  <c r="G61" i="6"/>
  <c r="B61" i="6"/>
  <c r="L60" i="6"/>
  <c r="K60" i="6"/>
  <c r="G60" i="6"/>
  <c r="B60" i="6"/>
  <c r="K59" i="6"/>
  <c r="L59" i="6" s="1"/>
  <c r="G59" i="6"/>
  <c r="B59" i="6"/>
  <c r="L58" i="6"/>
  <c r="K58" i="6"/>
  <c r="G58" i="6"/>
  <c r="B58" i="6"/>
  <c r="K57" i="6"/>
  <c r="L57" i="6" s="1"/>
  <c r="G57" i="6"/>
  <c r="B57" i="6"/>
  <c r="L56" i="6"/>
  <c r="K56" i="6"/>
  <c r="G56" i="6"/>
  <c r="B56" i="6"/>
  <c r="K55" i="6"/>
  <c r="L55" i="6" s="1"/>
  <c r="G55" i="6"/>
  <c r="B55" i="6"/>
  <c r="L54" i="6"/>
  <c r="K54" i="6"/>
  <c r="G54" i="6"/>
  <c r="B54" i="6"/>
  <c r="K53" i="6"/>
  <c r="L53" i="6" s="1"/>
  <c r="G53" i="6"/>
  <c r="B53" i="6"/>
  <c r="L52" i="6"/>
  <c r="K52" i="6"/>
  <c r="G52" i="6"/>
  <c r="B52" i="6"/>
  <c r="K51" i="6"/>
  <c r="L51" i="6" s="1"/>
  <c r="G51" i="6"/>
  <c r="B51" i="6"/>
  <c r="L50" i="6"/>
  <c r="K50" i="6"/>
  <c r="G50" i="6"/>
  <c r="B50" i="6"/>
  <c r="K49" i="6"/>
  <c r="L49" i="6" s="1"/>
  <c r="G49" i="6"/>
  <c r="B49" i="6"/>
  <c r="L48" i="6"/>
  <c r="K48" i="6"/>
  <c r="G48" i="6"/>
  <c r="B48" i="6"/>
  <c r="K47" i="6"/>
  <c r="L47" i="6" s="1"/>
  <c r="G47" i="6"/>
  <c r="B47" i="6"/>
  <c r="L46" i="6"/>
  <c r="K46" i="6"/>
  <c r="G46" i="6"/>
  <c r="B46" i="6"/>
  <c r="K45" i="6"/>
  <c r="L45" i="6" s="1"/>
  <c r="G45" i="6"/>
  <c r="B45" i="6"/>
  <c r="L44" i="6"/>
  <c r="K44" i="6"/>
  <c r="G44" i="6"/>
  <c r="B44" i="6"/>
  <c r="K43" i="6"/>
  <c r="L43" i="6" s="1"/>
  <c r="G43" i="6"/>
  <c r="B43" i="6"/>
  <c r="L42" i="6"/>
  <c r="K42" i="6"/>
  <c r="G42" i="6"/>
  <c r="B42" i="6"/>
  <c r="K41" i="6"/>
  <c r="L41" i="6" s="1"/>
  <c r="G41" i="6"/>
  <c r="B41" i="6"/>
  <c r="L40" i="6"/>
  <c r="K40" i="6"/>
  <c r="G40" i="6"/>
  <c r="B40" i="6"/>
  <c r="K39" i="6"/>
  <c r="L39" i="6" s="1"/>
  <c r="G39" i="6"/>
  <c r="B39" i="6"/>
  <c r="L38" i="6"/>
  <c r="K38" i="6"/>
  <c r="G38" i="6"/>
  <c r="B38" i="6"/>
  <c r="K37" i="6"/>
  <c r="L37" i="6" s="1"/>
  <c r="G37" i="6"/>
  <c r="B37" i="6"/>
  <c r="L36" i="6"/>
  <c r="K36" i="6"/>
  <c r="G36" i="6"/>
  <c r="B36" i="6"/>
  <c r="K35" i="6"/>
  <c r="L35" i="6" s="1"/>
  <c r="G35" i="6"/>
  <c r="B35" i="6"/>
  <c r="L34" i="6"/>
  <c r="K34" i="6"/>
  <c r="G34" i="6"/>
  <c r="B34" i="6"/>
  <c r="K33" i="6"/>
  <c r="L33" i="6" s="1"/>
  <c r="G33" i="6"/>
  <c r="B33" i="6"/>
  <c r="L32" i="6"/>
  <c r="K32" i="6"/>
  <c r="G32" i="6"/>
  <c r="B32" i="6"/>
  <c r="K31" i="6"/>
  <c r="L31" i="6" s="1"/>
  <c r="G31" i="6"/>
  <c r="B31" i="6"/>
  <c r="L30" i="6"/>
  <c r="K30" i="6"/>
  <c r="G30" i="6"/>
  <c r="B30" i="6"/>
  <c r="K29" i="6"/>
  <c r="L29" i="6" s="1"/>
  <c r="G29" i="6"/>
  <c r="B29" i="6"/>
  <c r="L28" i="6"/>
  <c r="K28" i="6"/>
  <c r="G28" i="6"/>
  <c r="B28" i="6"/>
  <c r="K27" i="6"/>
  <c r="L27" i="6" s="1"/>
  <c r="G27" i="6"/>
  <c r="B27" i="6"/>
  <c r="L26" i="6"/>
  <c r="K26" i="6"/>
  <c r="G26" i="6"/>
  <c r="B26" i="6"/>
  <c r="K25" i="6"/>
  <c r="L25" i="6" s="1"/>
  <c r="G25" i="6"/>
  <c r="B25" i="6"/>
  <c r="L24" i="6"/>
  <c r="K24" i="6"/>
  <c r="G24" i="6"/>
  <c r="B24" i="6"/>
  <c r="K23" i="6"/>
  <c r="L23" i="6" s="1"/>
  <c r="G23" i="6"/>
  <c r="B23" i="6"/>
  <c r="L22" i="6"/>
  <c r="K22" i="6"/>
  <c r="G22" i="6"/>
  <c r="B22" i="6"/>
  <c r="K21" i="6"/>
  <c r="L21" i="6" s="1"/>
  <c r="G21" i="6"/>
  <c r="B21" i="6"/>
  <c r="L20" i="6"/>
  <c r="K20" i="6"/>
  <c r="G20" i="6"/>
  <c r="B20" i="6"/>
  <c r="K19" i="6"/>
  <c r="L19" i="6" s="1"/>
  <c r="G19" i="6"/>
  <c r="B19" i="6"/>
  <c r="L18" i="6"/>
  <c r="K18" i="6"/>
  <c r="G18" i="6"/>
  <c r="B18" i="6"/>
  <c r="K17" i="6"/>
  <c r="L17" i="6" s="1"/>
  <c r="G17" i="6"/>
  <c r="B17" i="6"/>
  <c r="L16" i="6"/>
  <c r="K16" i="6"/>
  <c r="G16" i="6"/>
  <c r="B16" i="6"/>
  <c r="K15" i="6"/>
  <c r="L15" i="6" s="1"/>
  <c r="G15" i="6"/>
  <c r="B15" i="6"/>
  <c r="L14" i="6"/>
  <c r="K14" i="6"/>
  <c r="G14" i="6"/>
  <c r="B14" i="6"/>
  <c r="K13" i="6"/>
  <c r="L13" i="6" s="1"/>
  <c r="G13" i="6"/>
  <c r="B13" i="6"/>
  <c r="L12" i="6"/>
  <c r="K12" i="6"/>
  <c r="G12" i="6"/>
  <c r="B12" i="6"/>
  <c r="K11" i="6"/>
  <c r="L11" i="6" s="1"/>
  <c r="G11" i="6"/>
  <c r="B11" i="6"/>
  <c r="L10" i="6"/>
  <c r="K10" i="6"/>
  <c r="G10" i="6"/>
  <c r="B10" i="6"/>
  <c r="K9" i="6"/>
  <c r="L9" i="6" s="1"/>
  <c r="G9" i="6"/>
  <c r="B9" i="6"/>
  <c r="L8" i="6"/>
  <c r="K8" i="6"/>
  <c r="G8" i="6"/>
  <c r="B8" i="6"/>
  <c r="K7" i="6"/>
  <c r="L7" i="6" s="1"/>
  <c r="G7" i="6"/>
  <c r="B7" i="6"/>
  <c r="L6" i="6"/>
  <c r="K6" i="6"/>
  <c r="G6" i="6"/>
  <c r="B6" i="6"/>
  <c r="K5" i="6"/>
  <c r="L5" i="6" s="1"/>
  <c r="G5" i="6"/>
  <c r="B5" i="6"/>
  <c r="L4" i="6"/>
  <c r="K4" i="6"/>
  <c r="G4" i="6"/>
  <c r="B4" i="6"/>
  <c r="K3" i="6"/>
  <c r="L3" i="6" s="1"/>
  <c r="G3" i="6"/>
  <c r="B3" i="6"/>
  <c r="L2" i="6"/>
  <c r="K2" i="6"/>
  <c r="G2" i="6"/>
  <c r="B2" i="6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C27" i="1"/>
  <c r="G26" i="1"/>
  <c r="G25" i="1"/>
  <c r="G24" i="1"/>
  <c r="G23" i="1"/>
  <c r="C23" i="1"/>
  <c r="F18" i="1"/>
  <c r="D18" i="1"/>
  <c r="F17" i="1"/>
  <c r="D17" i="1"/>
  <c r="F16" i="1"/>
  <c r="E16" i="1"/>
  <c r="D16" i="1"/>
  <c r="F10" i="1"/>
  <c r="J6" i="1"/>
  <c r="F6" i="1"/>
  <c r="B6" i="1"/>
  <c r="C28" i="1" l="1"/>
  <c r="L74" i="6"/>
  <c r="L106" i="6"/>
  <c r="L154" i="6"/>
  <c r="L234" i="6"/>
  <c r="C30" i="1"/>
  <c r="E17" i="1"/>
  <c r="C25" i="1"/>
  <c r="B10" i="1"/>
  <c r="C32" i="1"/>
  <c r="C31" i="1"/>
  <c r="E18" i="1"/>
</calcChain>
</file>

<file path=xl/sharedStrings.xml><?xml version="1.0" encoding="utf-8"?>
<sst xmlns="http://schemas.openxmlformats.org/spreadsheetml/2006/main" count="2681" uniqueCount="436">
  <si>
    <t>Dashboard — Colegio Secundario</t>
  </si>
  <si>
    <t>Panel de indicadores generales (se actualiza solo al cargar más datos)</t>
  </si>
  <si>
    <t>Total de Alumnos</t>
  </si>
  <si>
    <t>Total de Profesores</t>
  </si>
  <si>
    <t>Total de Cursos</t>
  </si>
  <si>
    <t>Promedio General Institucional</t>
  </si>
  <si>
    <t>% Asistencia General</t>
  </si>
  <si>
    <t>Alumnos por Curso</t>
  </si>
  <si>
    <t>Curso</t>
  </si>
  <si>
    <t>Turno</t>
  </si>
  <si>
    <t>Cant. Alumnos</t>
  </si>
  <si>
    <t>Promedio del Curso</t>
  </si>
  <si>
    <t>% Asistencia</t>
  </si>
  <si>
    <t>1°A</t>
  </si>
  <si>
    <t>Mañana</t>
  </si>
  <si>
    <t>2°A</t>
  </si>
  <si>
    <t>3°A</t>
  </si>
  <si>
    <t>Tarde</t>
  </si>
  <si>
    <t>Promedio por Materia (todos los cursos)</t>
  </si>
  <si>
    <t>Distribución de Asistencia (general)</t>
  </si>
  <si>
    <t>Materia</t>
  </si>
  <si>
    <t>Promedio</t>
  </si>
  <si>
    <t>Estado</t>
  </si>
  <si>
    <t>Cantidad</t>
  </si>
  <si>
    <t>Biología</t>
  </si>
  <si>
    <t>Presente</t>
  </si>
  <si>
    <t>Educación Artística</t>
  </si>
  <si>
    <t>Ausente</t>
  </si>
  <si>
    <t>Educación Física</t>
  </si>
  <si>
    <t>Formación Ética y Ciudadana</t>
  </si>
  <si>
    <t>Justificada</t>
  </si>
  <si>
    <t>Física-Química</t>
  </si>
  <si>
    <t>Geografía</t>
  </si>
  <si>
    <t>Historia</t>
  </si>
  <si>
    <t>Inglés</t>
  </si>
  <si>
    <t>Lengua y Literatura</t>
  </si>
  <si>
    <t>Matemática</t>
  </si>
  <si>
    <t>Tecnología</t>
  </si>
  <si>
    <t>Sistema de Gestión Escolar — Nivel Secundario</t>
  </si>
  <si>
    <t>Cómo está organizada esta planilla</t>
  </si>
  <si>
    <t>• Alumnos</t>
  </si>
  <si>
    <t>Ficha completa de cada alumno/a: datos personales y datos de padre, madre y/o tutor. Es la base de la que se alimentan las demás hojas.</t>
  </si>
  <si>
    <t>• Profesores</t>
  </si>
  <si>
    <t>Datos de contacto de cada docente y qué materia dicta principalmente.</t>
  </si>
  <si>
    <t>• Plan_Materias</t>
  </si>
  <si>
    <t>Qué materias corresponden a cada Año/División/Turno y qué profesor/a la dicta. Es el 'mapa' curricular del colegio.</t>
  </si>
  <si>
    <t>• Notas</t>
  </si>
  <si>
    <t>Listado de alumnos por materia con sus notas y una observación. El promedio y la condición (Aprobado/Desaprobado) se calculan solos.</t>
  </si>
  <si>
    <t>• Asistencia (Preceptoría)</t>
  </si>
  <si>
    <t>Toma de lista diaria por curso: Presente / Ausente / Tarde / Justificada, con observación del preceptor/a.</t>
  </si>
  <si>
    <t>• Dashboard</t>
  </si>
  <si>
    <t>Panel con indicadores generales: cantidad de alumnos, promedios por materia, asistencia por curso y gráficos.</t>
  </si>
  <si>
    <t>Referencia de colores</t>
  </si>
  <si>
    <t xml:space="preserve">  </t>
  </si>
  <si>
    <t>Celdas para completar / editar (datos a cargar)</t>
  </si>
  <si>
    <t>Celdas con fórmula: no escribir encima, se recalculan solas</t>
  </si>
  <si>
    <t>Notas importantes</t>
  </si>
  <si>
    <t>- Los datos de alumnos, profesores, notas y asistencia de esta planilla son EJEMPLOS ilustrativos para mostrar cómo funciona el sistema. Reemplácenlos por los datos reales del colegio.</t>
  </si>
  <si>
    <t>- Para agregar un alumno nuevo: cargarlo en 'Alumnos' con un ID_Alumno único, y luego agregar sus filas en 'Notas' y 'Asistencia' usando ese mismo ID (el nombre se completa solo).</t>
  </si>
  <si>
    <t>- Para agregar una materia o cambiar el profesor de un curso: editar la hoja 'Plan_Materias'.</t>
  </si>
  <si>
    <t>- El Dashboard se actualiza automáticamente a medida que se cargan más alumnos, notas y asistencias.</t>
  </si>
  <si>
    <t>ID_Alumno</t>
  </si>
  <si>
    <t>Apellido</t>
  </si>
  <si>
    <t>Nombre</t>
  </si>
  <si>
    <t>DNI</t>
  </si>
  <si>
    <t>Fecha_Nac.</t>
  </si>
  <si>
    <t>Año</t>
  </si>
  <si>
    <t>División</t>
  </si>
  <si>
    <t>Dirección</t>
  </si>
  <si>
    <t>Teléfono_Alumno</t>
  </si>
  <si>
    <t>Email_Alumno</t>
  </si>
  <si>
    <t>Apellido_Padre</t>
  </si>
  <si>
    <t>Nombre_Padre</t>
  </si>
  <si>
    <t>DNI_Padre</t>
  </si>
  <si>
    <t>Teléfono_Padre</t>
  </si>
  <si>
    <t>Apellido_Madre</t>
  </si>
  <si>
    <t>Nombre_Madre</t>
  </si>
  <si>
    <t>DNI_Madre</t>
  </si>
  <si>
    <t>Teléfono_Madre</t>
  </si>
  <si>
    <t>Apellido_Tutor</t>
  </si>
  <si>
    <t>Nombre_Tutor</t>
  </si>
  <si>
    <t>DNI_Tutor</t>
  </si>
  <si>
    <t>Teléfono_Tutor</t>
  </si>
  <si>
    <t>Observaciones</t>
  </si>
  <si>
    <t>AL-001</t>
  </si>
  <si>
    <t>Ortiz</t>
  </si>
  <si>
    <t>María</t>
  </si>
  <si>
    <t>08/04/2013</t>
  </si>
  <si>
    <t>A</t>
  </si>
  <si>
    <t>Calle Díaz 939</t>
  </si>
  <si>
    <t>11-7467-2424</t>
  </si>
  <si>
    <t>maría.ortiz@alumnos.ejemplo.edu.ar</t>
  </si>
  <si>
    <t>Aguirre</t>
  </si>
  <si>
    <t>Facundo</t>
  </si>
  <si>
    <t>11-3244-2535</t>
  </si>
  <si>
    <t>Pérez</t>
  </si>
  <si>
    <t>Camila</t>
  </si>
  <si>
    <t>11-7931-1434</t>
  </si>
  <si>
    <t>AL-002</t>
  </si>
  <si>
    <t>Herrera</t>
  </si>
  <si>
    <t>Delfina</t>
  </si>
  <si>
    <t>08/08/2013</t>
  </si>
  <si>
    <t>Calle Aguirre 2378</t>
  </si>
  <si>
    <t>11-3053-3615</t>
  </si>
  <si>
    <t>delfina.herrera@alumnos.ejemplo.edu.ar</t>
  </si>
  <si>
    <t>Molina</t>
  </si>
  <si>
    <t>11-5276-3547</t>
  </si>
  <si>
    <t>Zoe</t>
  </si>
  <si>
    <t>11-3837-2519</t>
  </si>
  <si>
    <t>AL-003</t>
  </si>
  <si>
    <t>Vega</t>
  </si>
  <si>
    <t>Joaquín</t>
  </si>
  <si>
    <t>26/01/2013</t>
  </si>
  <si>
    <t>Calle Ortiz 3863</t>
  </si>
  <si>
    <t>11-7392-3045</t>
  </si>
  <si>
    <t>joaquín.vega@alumnos.ejemplo.edu.ar</t>
  </si>
  <si>
    <t>Peralta</t>
  </si>
  <si>
    <t>11-7522-5803</t>
  </si>
  <si>
    <t>Ibáñez</t>
  </si>
  <si>
    <t>Pilar</t>
  </si>
  <si>
    <t>11-5962-4150</t>
  </si>
  <si>
    <t>AL-004</t>
  </si>
  <si>
    <t>Silva</t>
  </si>
  <si>
    <t>Tomás</t>
  </si>
  <si>
    <t>03/04/2013</t>
  </si>
  <si>
    <t>Calle Cabrera 927</t>
  </si>
  <si>
    <t>11-6113-5554</t>
  </si>
  <si>
    <t>tomás.silva@alumnos.ejemplo.edu.ar</t>
  </si>
  <si>
    <t>Acosta</t>
  </si>
  <si>
    <t>Nicolás</t>
  </si>
  <si>
    <t>11-5988-3664</t>
  </si>
  <si>
    <t>Torres</t>
  </si>
  <si>
    <t>Julieta</t>
  </si>
  <si>
    <t>11-5187-2169</t>
  </si>
  <si>
    <t>AL-005</t>
  </si>
  <si>
    <t>Sánchez</t>
  </si>
  <si>
    <t>Franco</t>
  </si>
  <si>
    <t>15/07/2013</t>
  </si>
  <si>
    <t>Calle Romero 4662</t>
  </si>
  <si>
    <t>11-4799-6313</t>
  </si>
  <si>
    <t>franco.sánchez@alumnos.ejemplo.edu.ar</t>
  </si>
  <si>
    <t>Agustín</t>
  </si>
  <si>
    <t>11-3458-4752</t>
  </si>
  <si>
    <t>11-5584-7572</t>
  </si>
  <si>
    <t>AL-006</t>
  </si>
  <si>
    <t>Luna</t>
  </si>
  <si>
    <t>Iván</t>
  </si>
  <si>
    <t>11/04/2013</t>
  </si>
  <si>
    <t>Calle Castro 4189</t>
  </si>
  <si>
    <t>11-6241-8517</t>
  </si>
  <si>
    <t>iván.luna@alumnos.ejemplo.edu.ar</t>
  </si>
  <si>
    <t>Díaz</t>
  </si>
  <si>
    <t>Benjamín</t>
  </si>
  <si>
    <t>11-5020-9830</t>
  </si>
  <si>
    <t>Romero</t>
  </si>
  <si>
    <t>11-6509-7543</t>
  </si>
  <si>
    <t>AL-007</t>
  </si>
  <si>
    <t>Medina</t>
  </si>
  <si>
    <t>Valentina</t>
  </si>
  <si>
    <t>03/01/2013</t>
  </si>
  <si>
    <t>Calle Cabrera 998</t>
  </si>
  <si>
    <t>11-4252-3621</t>
  </si>
  <si>
    <t>valentina.medina@alumnos.ejemplo.edu.ar</t>
  </si>
  <si>
    <t>Núñez</t>
  </si>
  <si>
    <t>11-7885-2040</t>
  </si>
  <si>
    <t>Ruiz</t>
  </si>
  <si>
    <t>Emilia</t>
  </si>
  <si>
    <t>11-6834-9669</t>
  </si>
  <si>
    <t>AL-008</t>
  </si>
  <si>
    <t>Rojas</t>
  </si>
  <si>
    <t>04/11/2013</t>
  </si>
  <si>
    <t>Calle Luna 4498</t>
  </si>
  <si>
    <t>11-5185-6573</t>
  </si>
  <si>
    <t>maría.rojas@alumnos.ejemplo.edu.ar</t>
  </si>
  <si>
    <t>López</t>
  </si>
  <si>
    <t>11-4295-8433</t>
  </si>
  <si>
    <t>González</t>
  </si>
  <si>
    <t>11-5157-9201</t>
  </si>
  <si>
    <t>AL-009</t>
  </si>
  <si>
    <t>Cabrera</t>
  </si>
  <si>
    <t>Sofía</t>
  </si>
  <si>
    <t>10/11/2013</t>
  </si>
  <si>
    <t>Calle Medina 1729</t>
  </si>
  <si>
    <t>11-4252-7126</t>
  </si>
  <si>
    <t>sofía.cabrera@alumnos.ejemplo.edu.ar</t>
  </si>
  <si>
    <t>Lucas</t>
  </si>
  <si>
    <t>11-7344-1009</t>
  </si>
  <si>
    <t>11-3159-2832</t>
  </si>
  <si>
    <t>AL-010</t>
  </si>
  <si>
    <t>Renata</t>
  </si>
  <si>
    <t>08/01/2013</t>
  </si>
  <si>
    <t>Calle Sánchez 4747</t>
  </si>
  <si>
    <t>11-3645-2403</t>
  </si>
  <si>
    <t>renata.núñez@alumnos.ejemplo.edu.ar</t>
  </si>
  <si>
    <t>Santino</t>
  </si>
  <si>
    <t>11-3566-9727</t>
  </si>
  <si>
    <t>11-6893-3705</t>
  </si>
  <si>
    <t>AL-011</t>
  </si>
  <si>
    <t>18/12/2012</t>
  </si>
  <si>
    <t>Calle Molina 1747</t>
  </si>
  <si>
    <t>11-5553-7537</t>
  </si>
  <si>
    <t>emilia.pérez@alumnos.ejemplo.edu.ar</t>
  </si>
  <si>
    <t>11-6588-9479</t>
  </si>
  <si>
    <t>11-4840-2049</t>
  </si>
  <si>
    <t>AL-012</t>
  </si>
  <si>
    <t>01/02/2012</t>
  </si>
  <si>
    <t>Calle Molina 582</t>
  </si>
  <si>
    <t>11-4875-2104</t>
  </si>
  <si>
    <t>camila.aguirre@alumnos.ejemplo.edu.ar</t>
  </si>
  <si>
    <t>Juan</t>
  </si>
  <si>
    <t>11-5706-2160</t>
  </si>
  <si>
    <t>11-6976-4510</t>
  </si>
  <si>
    <t>AL-013</t>
  </si>
  <si>
    <t>Guadalupe</t>
  </si>
  <si>
    <t>16/04/2012</t>
  </si>
  <si>
    <t>Calle Núñez 3974</t>
  </si>
  <si>
    <t>11-6334-4119</t>
  </si>
  <si>
    <t>guadalupe.aguirre@alumnos.ejemplo.edu.ar</t>
  </si>
  <si>
    <t>Mateo</t>
  </si>
  <si>
    <t>11-6531-6804</t>
  </si>
  <si>
    <t>Flores</t>
  </si>
  <si>
    <t>11-3443-2612</t>
  </si>
  <si>
    <t>11-3895-5073</t>
  </si>
  <si>
    <t>AL-014</t>
  </si>
  <si>
    <t>Bruno</t>
  </si>
  <si>
    <t>14/03/2012</t>
  </si>
  <si>
    <t>Calle Romero 3889</t>
  </si>
  <si>
    <t>11-5046-2235</t>
  </si>
  <si>
    <t>bruno.acosta@alumnos.ejemplo.edu.ar</t>
  </si>
  <si>
    <t>11-7508-2604</t>
  </si>
  <si>
    <t>Rodríguez</t>
  </si>
  <si>
    <t>11-3120-2528</t>
  </si>
  <si>
    <t>AL-015</t>
  </si>
  <si>
    <t>Calle Cabrera 3385</t>
  </si>
  <si>
    <t>11-3480-3697</t>
  </si>
  <si>
    <t>valentina.flores@alumnos.ejemplo.edu.ar</t>
  </si>
  <si>
    <t>11-5172-8454</t>
  </si>
  <si>
    <t>Suárez</t>
  </si>
  <si>
    <t>11-7552-8973</t>
  </si>
  <si>
    <t>AL-016</t>
  </si>
  <si>
    <t>18/01/2012</t>
  </si>
  <si>
    <t>Calle Ortiz 2669</t>
  </si>
  <si>
    <t>11-3468-1821</t>
  </si>
  <si>
    <t>juan.aguirre@alumnos.ejemplo.edu.ar</t>
  </si>
  <si>
    <t>11-7350-3579</t>
  </si>
  <si>
    <t>Milagros</t>
  </si>
  <si>
    <t>11-4522-2122</t>
  </si>
  <si>
    <t>AL-017</t>
  </si>
  <si>
    <t>19/04/2012</t>
  </si>
  <si>
    <t>Calle Aguirre 4970</t>
  </si>
  <si>
    <t>11-3325-2343</t>
  </si>
  <si>
    <t>camila.ruiz@alumnos.ejemplo.edu.ar</t>
  </si>
  <si>
    <t>11-7630-9565</t>
  </si>
  <si>
    <t>Álvarez</t>
  </si>
  <si>
    <t>11-4673-6147</t>
  </si>
  <si>
    <t>AL-018</t>
  </si>
  <si>
    <t>Castro</t>
  </si>
  <si>
    <t>15/06/2012</t>
  </si>
  <si>
    <t>Calle Peralta 694</t>
  </si>
  <si>
    <t>11-3076-8508</t>
  </si>
  <si>
    <t>nicolás.castro@alumnos.ejemplo.edu.ar</t>
  </si>
  <si>
    <t>11-3600-9808</t>
  </si>
  <si>
    <t>11-4085-6718</t>
  </si>
  <si>
    <t>AL-019</t>
  </si>
  <si>
    <t>15/09/2012</t>
  </si>
  <si>
    <t>Calle Molina 2578</t>
  </si>
  <si>
    <t>11-7333-1128</t>
  </si>
  <si>
    <t>julieta.suárez@alumnos.ejemplo.edu.ar</t>
  </si>
  <si>
    <t>Ramiro</t>
  </si>
  <si>
    <t>11-5452-2697</t>
  </si>
  <si>
    <t>11-3945-2753</t>
  </si>
  <si>
    <t>AL-020</t>
  </si>
  <si>
    <t>23/06/2012</t>
  </si>
  <si>
    <t>Calle Pérez 2262</t>
  </si>
  <si>
    <t>11-7140-9004</t>
  </si>
  <si>
    <t>benjamín.vega@alumnos.ejemplo.edu.ar</t>
  </si>
  <si>
    <t>Ezequiel</t>
  </si>
  <si>
    <t>11-3416-2512</t>
  </si>
  <si>
    <t>11-5266-1722</t>
  </si>
  <si>
    <t>11-5145-3647</t>
  </si>
  <si>
    <t>AL-021</t>
  </si>
  <si>
    <t>18/01/2011</t>
  </si>
  <si>
    <t>Calle López 716</t>
  </si>
  <si>
    <t>11-4221-9938</t>
  </si>
  <si>
    <t>milagros.molina@alumnos.ejemplo.edu.ar</t>
  </si>
  <si>
    <t>11-7771-3426</t>
  </si>
  <si>
    <t>11-5525-6974</t>
  </si>
  <si>
    <t>AL-022</t>
  </si>
  <si>
    <t>12/04/2011</t>
  </si>
  <si>
    <t>Calle Rojas 2144</t>
  </si>
  <si>
    <t>11-3842-6794</t>
  </si>
  <si>
    <t>renata.rodríguez@alumnos.ejemplo.edu.ar</t>
  </si>
  <si>
    <t>11-6329-3532</t>
  </si>
  <si>
    <t>11-4331-3900</t>
  </si>
  <si>
    <t>AL-023</t>
  </si>
  <si>
    <t>26/07/2011</t>
  </si>
  <si>
    <t>Calle Núñez 2132</t>
  </si>
  <si>
    <t>11-5185-3608</t>
  </si>
  <si>
    <t>franco.peralta@alumnos.ejemplo.edu.ar</t>
  </si>
  <si>
    <t>11-6133-1634</t>
  </si>
  <si>
    <t>Catalina</t>
  </si>
  <si>
    <t>11-4634-8541</t>
  </si>
  <si>
    <t>AL-024</t>
  </si>
  <si>
    <t>01/11/2011</t>
  </si>
  <si>
    <t>Calle Pérez 3364</t>
  </si>
  <si>
    <t>11-5689-5564</t>
  </si>
  <si>
    <t>renata.sánchez@alumnos.ejemplo.edu.ar</t>
  </si>
  <si>
    <t>11-5286-6753</t>
  </si>
  <si>
    <t>11-7392-6425</t>
  </si>
  <si>
    <t>AL-025</t>
  </si>
  <si>
    <t>Martínez</t>
  </si>
  <si>
    <t>09/01/2011</t>
  </si>
  <si>
    <t>Calle López 4987</t>
  </si>
  <si>
    <t>11-6559-6663</t>
  </si>
  <si>
    <t>benjamín.martínez@alumnos.ejemplo.edu.ar</t>
  </si>
  <si>
    <t>11-6574-9379</t>
  </si>
  <si>
    <t>11-7723-4114</t>
  </si>
  <si>
    <t>AL-026</t>
  </si>
  <si>
    <t>26/09/2011</t>
  </si>
  <si>
    <t>Calle Rojas 1714</t>
  </si>
  <si>
    <t>11-5983-8066</t>
  </si>
  <si>
    <t>maría.medina@alumnos.ejemplo.edu.ar</t>
  </si>
  <si>
    <t>Fernández</t>
  </si>
  <si>
    <t>11-5704-6143</t>
  </si>
  <si>
    <t>11-5460-9308</t>
  </si>
  <si>
    <t>AL-027</t>
  </si>
  <si>
    <t>18/03/2011</t>
  </si>
  <si>
    <t>Calle Pérez 3544</t>
  </si>
  <si>
    <t>11-6105-3851</t>
  </si>
  <si>
    <t>facundo.molina@alumnos.ejemplo.edu.ar</t>
  </si>
  <si>
    <t>11-6326-9977</t>
  </si>
  <si>
    <t>11-5350-4443</t>
  </si>
  <si>
    <t>AL-028</t>
  </si>
  <si>
    <t>15/08/2011</t>
  </si>
  <si>
    <t>Calle Rojas 1850</t>
  </si>
  <si>
    <t>11-7187-8752</t>
  </si>
  <si>
    <t>pilar.álvarez@alumnos.ejemplo.edu.ar</t>
  </si>
  <si>
    <t>11-4390-2389</t>
  </si>
  <si>
    <t>11-5745-2530</t>
  </si>
  <si>
    <t>AL-029</t>
  </si>
  <si>
    <t>26/04/2011</t>
  </si>
  <si>
    <t>Calle Díaz 300</t>
  </si>
  <si>
    <t>11-3378-5011</t>
  </si>
  <si>
    <t>pilar.suárez@alumnos.ejemplo.edu.ar</t>
  </si>
  <si>
    <t>Benítez</t>
  </si>
  <si>
    <t>11-3596-8461</t>
  </si>
  <si>
    <t>11-7715-4185</t>
  </si>
  <si>
    <t>AL-030</t>
  </si>
  <si>
    <t>21/12/2011</t>
  </si>
  <si>
    <t>Calle González 973</t>
  </si>
  <si>
    <t>11-6482-4585</t>
  </si>
  <si>
    <t>facundo.sánchez@alumnos.ejemplo.edu.ar</t>
  </si>
  <si>
    <t>11-7243-8611</t>
  </si>
  <si>
    <t>11-3994-8478</t>
  </si>
  <si>
    <t>11-7578-6198</t>
  </si>
  <si>
    <t>ID_Profesor</t>
  </si>
  <si>
    <t>Teléfono</t>
  </si>
  <si>
    <t>Email</t>
  </si>
  <si>
    <t>Materia_Principal</t>
  </si>
  <si>
    <t>Cursos_Asignados</t>
  </si>
  <si>
    <t>PR-01</t>
  </si>
  <si>
    <t>Gómez</t>
  </si>
  <si>
    <t>Laura</t>
  </si>
  <si>
    <t>11-6625-9270</t>
  </si>
  <si>
    <t>laura.gómez@colegio.ejemplo.edu.ar</t>
  </si>
  <si>
    <t>1°A (Mañana), 2°A (Mañana), 3°A (Tarde)</t>
  </si>
  <si>
    <t>PR-02</t>
  </si>
  <si>
    <t>Marcelo</t>
  </si>
  <si>
    <t>11-7488-8305</t>
  </si>
  <si>
    <t>marcelo.fernández@colegio.ejemplo.edu.ar</t>
  </si>
  <si>
    <t>PR-03</t>
  </si>
  <si>
    <t>Ana</t>
  </si>
  <si>
    <t>11-4303-8777</t>
  </si>
  <si>
    <t>ana.rodríguez@colegio.ejemplo.edu.ar</t>
  </si>
  <si>
    <t>PR-04</t>
  </si>
  <si>
    <t>Diego</t>
  </si>
  <si>
    <t>11-5123-5050</t>
  </si>
  <si>
    <t>diego.pérez@colegio.ejemplo.edu.ar</t>
  </si>
  <si>
    <t>PR-05</t>
  </si>
  <si>
    <t>Carla</t>
  </si>
  <si>
    <t>11-5271-9540</t>
  </si>
  <si>
    <t>carla.lópez@colegio.ejemplo.edu.ar</t>
  </si>
  <si>
    <t>1°A (Mañana), 3°A (Tarde)</t>
  </si>
  <si>
    <t>PR-06</t>
  </si>
  <si>
    <t>Julián</t>
  </si>
  <si>
    <t>11-4959-5499</t>
  </si>
  <si>
    <t>julián.martínez@colegio.ejemplo.edu.ar</t>
  </si>
  <si>
    <t>PR-07</t>
  </si>
  <si>
    <t>Pablo</t>
  </si>
  <si>
    <t>11-3634-5681</t>
  </si>
  <si>
    <t>pablo.sánchez@colegio.ejemplo.edu.ar</t>
  </si>
  <si>
    <t>PR-08</t>
  </si>
  <si>
    <t>Marina</t>
  </si>
  <si>
    <t>11-5225-6502</t>
  </si>
  <si>
    <t>marina.torres@colegio.ejemplo.edu.ar</t>
  </si>
  <si>
    <t>1°A (Mañana)</t>
  </si>
  <si>
    <t>PR-09</t>
  </si>
  <si>
    <t>Ramírez</t>
  </si>
  <si>
    <t>Gustavo</t>
  </si>
  <si>
    <t>11-7424-2320</t>
  </si>
  <si>
    <t>gustavo.ramírez@colegio.ejemplo.edu.ar</t>
  </si>
  <si>
    <t>2°A (Mañana)</t>
  </si>
  <si>
    <t>PR-10</t>
  </si>
  <si>
    <t>Verónica</t>
  </si>
  <si>
    <t>11-4235-4788</t>
  </si>
  <si>
    <t>verónica.flores@colegio.ejemplo.edu.ar</t>
  </si>
  <si>
    <t>PR-11</t>
  </si>
  <si>
    <t>Sebastián</t>
  </si>
  <si>
    <t>11-4251-4505</t>
  </si>
  <si>
    <t>sebastián.acosta@colegio.ejemplo.edu.ar</t>
  </si>
  <si>
    <t>3°A (Tarde)</t>
  </si>
  <si>
    <t>Profesor_Asignado</t>
  </si>
  <si>
    <t>Cant._Alumnos_del_Curso</t>
  </si>
  <si>
    <t>Alumno</t>
  </si>
  <si>
    <t>Profesor</t>
  </si>
  <si>
    <t>Nota_1er_Trim.</t>
  </si>
  <si>
    <t>Nota_2do_Trim.</t>
  </si>
  <si>
    <t>Nota_3er_Trim.</t>
  </si>
  <si>
    <t>Condición</t>
  </si>
  <si>
    <t>Observación</t>
  </si>
  <si>
    <t>Buena participación en clase</t>
  </si>
  <si>
    <t>Entrega tarde los trabajos</t>
  </si>
  <si>
    <t>Necesita repasar contenidos previos</t>
  </si>
  <si>
    <t>Recomendado apoyo escolar</t>
  </si>
  <si>
    <t>Excelente evolución</t>
  </si>
  <si>
    <t>Muy buen desempeño</t>
  </si>
  <si>
    <t>Cumple con lo solicitado</t>
  </si>
  <si>
    <t>Fecha</t>
  </si>
  <si>
    <t>Observación_Preceptor</t>
  </si>
  <si>
    <t>02/09/2026</t>
  </si>
  <si>
    <t>Llegó 15 min tarde</t>
  </si>
  <si>
    <t>Certificado médico presentado</t>
  </si>
  <si>
    <t>03/09/2026</t>
  </si>
  <si>
    <t>04/09/2026</t>
  </si>
  <si>
    <t>07/09/2026</t>
  </si>
  <si>
    <t>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</si>
</sst>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4" x14ac:knownFonts="1">
    <font>
      <sz val="11"/>
      <color theme="1"/>
      <name val="Calibri"/>
      <family val="2"/>
      <charset val="1"/>
    </font>
    <font>
      <b/>
      <sz val="20"/>
      <color rgb="FF1F4E78"/>
      <name val="Arial"/>
      <charset val="1"/>
    </font>
    <font>
      <i/>
      <sz val="10"/>
      <color rgb="FF808080"/>
      <name val="Arial"/>
      <charset val="1"/>
    </font>
    <font>
      <b/>
      <sz val="10"/>
      <color rgb="FFFFFFFF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3"/>
      <color rgb="FF2E75B6"/>
      <name val="Arial"/>
      <charset val="1"/>
    </font>
    <font>
      <b/>
      <sz val="10"/>
      <name val="Arial"/>
      <charset val="1"/>
    </font>
    <font>
      <b/>
      <sz val="10"/>
      <color rgb="FFFFFFFF"/>
      <name val="Arial"/>
      <family val="2"/>
    </font>
    <font>
      <sz val="10"/>
      <color theme="1"/>
      <name val="Calibri"/>
      <family val="2"/>
      <charset val="1"/>
    </font>
    <font>
      <sz val="10"/>
      <name val="Arial"/>
      <family val="2"/>
    </font>
    <font>
      <b/>
      <sz val="8"/>
      <color rgb="FFFFFFFF"/>
      <name val="Arial"/>
      <family val="2"/>
    </font>
    <font>
      <sz val="8"/>
      <color theme="1"/>
      <name val="Calibri"/>
      <family val="2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 applyAlignment="1">
      <alignment vertical="top" wrapText="1"/>
    </xf>
    <xf numFmtId="164" fontId="1" fillId="3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top"/>
    </xf>
    <xf numFmtId="0" fontId="0" fillId="4" borderId="0" xfId="0" applyFill="1"/>
    <xf numFmtId="0" fontId="5" fillId="0" borderId="0" xfId="0" applyFont="1"/>
    <xf numFmtId="0" fontId="0" fillId="3" borderId="0" xfId="0" applyFill="1"/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75"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horizontal="center" textRotation="0" indent="0" justifyLastLine="0" shrinkToFit="0" readingOrder="0"/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2E75B6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Cantidad de Alumnos por Curso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Dashboard!$D$15</c:f>
              <c:strCache>
                <c:ptCount val="1"/>
                <c:pt idx="0">
                  <c:v>Cant. Alumnos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Dashboard!$B$16:$B$18</c:f>
              <c:strCache>
                <c:ptCount val="3"/>
                <c:pt idx="0">
                  <c:v>1°A</c:v>
                </c:pt>
                <c:pt idx="1">
                  <c:v>2°A</c:v>
                </c:pt>
                <c:pt idx="2">
                  <c:v>3°A</c:v>
                </c:pt>
              </c:strCache>
            </c:strRef>
          </c:cat>
          <c:val>
            <c:numRef>
              <c:f>Dashboard!$D$16:$D$18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0-44AA-A80A-F1101F06D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85579"/>
        <c:axId val="18162180"/>
      </c:barChart>
      <c:catAx>
        <c:axId val="307855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Curso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18162180"/>
        <c:crosses val="autoZero"/>
        <c:auto val="1"/>
        <c:lblAlgn val="ctr"/>
        <c:lblOffset val="100"/>
        <c:noMultiLvlLbl val="0"/>
      </c:catAx>
      <c:valAx>
        <c:axId val="18162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Alumnos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30785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Promedio por Materia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Dashboard!$C$22</c:f>
              <c:strCache>
                <c:ptCount val="1"/>
                <c:pt idx="0">
                  <c:v>Promedio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Dashboard!$B$23:$B$33</c:f>
              <c:strCache>
                <c:ptCount val="11"/>
                <c:pt idx="0">
                  <c:v>Biología</c:v>
                </c:pt>
                <c:pt idx="1">
                  <c:v>Educación Artística</c:v>
                </c:pt>
                <c:pt idx="2">
                  <c:v>Educación Física</c:v>
                </c:pt>
                <c:pt idx="3">
                  <c:v>Formación Ética y Ciudadana</c:v>
                </c:pt>
                <c:pt idx="4">
                  <c:v>Física-Química</c:v>
                </c:pt>
                <c:pt idx="5">
                  <c:v>Geografía</c:v>
                </c:pt>
                <c:pt idx="6">
                  <c:v>Historia</c:v>
                </c:pt>
                <c:pt idx="7">
                  <c:v>Inglés</c:v>
                </c:pt>
                <c:pt idx="8">
                  <c:v>Lengua y Literatura</c:v>
                </c:pt>
                <c:pt idx="9">
                  <c:v>Matemática</c:v>
                </c:pt>
                <c:pt idx="10">
                  <c:v>Tecnología</c:v>
                </c:pt>
              </c:strCache>
            </c:strRef>
          </c:cat>
          <c:val>
            <c:numRef>
              <c:f>Dashboard!$C$23:$C$33</c:f>
              <c:numCache>
                <c:formatCode>General</c:formatCode>
                <c:ptCount val="11"/>
                <c:pt idx="0">
                  <c:v>7.1</c:v>
                </c:pt>
                <c:pt idx="1">
                  <c:v>6.67</c:v>
                </c:pt>
                <c:pt idx="2">
                  <c:v>6.89</c:v>
                </c:pt>
                <c:pt idx="3">
                  <c:v>7.67</c:v>
                </c:pt>
                <c:pt idx="4">
                  <c:v>6.97</c:v>
                </c:pt>
                <c:pt idx="5">
                  <c:v>7.37</c:v>
                </c:pt>
                <c:pt idx="6">
                  <c:v>7.14</c:v>
                </c:pt>
                <c:pt idx="7">
                  <c:v>6.89</c:v>
                </c:pt>
                <c:pt idx="8">
                  <c:v>7.04</c:v>
                </c:pt>
                <c:pt idx="9">
                  <c:v>7.01</c:v>
                </c:pt>
                <c:pt idx="10">
                  <c:v>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B-45E2-80DA-C454C8BC9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25284"/>
        <c:axId val="55658529"/>
      </c:barChart>
      <c:catAx>
        <c:axId val="24025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Materia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55658529"/>
        <c:crosses val="autoZero"/>
        <c:auto val="1"/>
        <c:lblAlgn val="ctr"/>
        <c:lblOffset val="100"/>
        <c:noMultiLvlLbl val="0"/>
      </c:catAx>
      <c:valAx>
        <c:axId val="55658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Promedio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240252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Distribución de Asistencia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Dashboard!$G$22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2C2-4BA2-AE1A-1A4E47FD8B8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2C2-4BA2-AE1A-1A4E47FD8B8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2C2-4BA2-AE1A-1A4E47FD8B8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2C2-4BA2-AE1A-1A4E47FD8B8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2C2-4BA2-AE1A-1A4E47FD8B8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2C2-4BA2-AE1A-1A4E47FD8B8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2C2-4BA2-AE1A-1A4E47FD8B8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2C2-4BA2-AE1A-1A4E47FD8B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Dashboard!$F$23:$F$26</c:f>
              <c:strCache>
                <c:ptCount val="4"/>
                <c:pt idx="0">
                  <c:v>Presente</c:v>
                </c:pt>
                <c:pt idx="1">
                  <c:v>Ausente</c:v>
                </c:pt>
                <c:pt idx="2">
                  <c:v>Tarde</c:v>
                </c:pt>
                <c:pt idx="3">
                  <c:v>Justificada</c:v>
                </c:pt>
              </c:strCache>
            </c:strRef>
          </c:cat>
          <c:val>
            <c:numRef>
              <c:f>Dashboard!$G$23:$G$26</c:f>
              <c:numCache>
                <c:formatCode>General</c:formatCode>
                <c:ptCount val="4"/>
                <c:pt idx="0">
                  <c:v>84</c:v>
                </c:pt>
                <c:pt idx="1">
                  <c:v>23</c:v>
                </c:pt>
                <c:pt idx="2">
                  <c:v>30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C2-4BA2-AE1A-1A4E47FD8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70560</xdr:rowOff>
    </xdr:from>
    <xdr:to>
      <xdr:col>17</xdr:col>
      <xdr:colOff>604800</xdr:colOff>
      <xdr:row>25</xdr:row>
      <xdr:rowOff>293760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32</xdr:row>
      <xdr:rowOff>36360</xdr:rowOff>
    </xdr:from>
    <xdr:to>
      <xdr:col>5</xdr:col>
      <xdr:colOff>747360</xdr:colOff>
      <xdr:row>47</xdr:row>
      <xdr:rowOff>58320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36360</xdr:rowOff>
    </xdr:from>
    <xdr:to>
      <xdr:col>16</xdr:col>
      <xdr:colOff>136440</xdr:colOff>
      <xdr:row>47</xdr:row>
      <xdr:rowOff>58320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lumnos" displayName="TablaAlumnos" ref="A1:X31" totalsRowShown="0" headerRowDxfId="45" dataDxfId="44">
  <autoFilter ref="A1:X31" xr:uid="{00000000-0009-0000-0100-000001000000}"/>
  <tableColumns count="24">
    <tableColumn id="1" xr3:uid="{00000000-0010-0000-0000-000001000000}" name="ID_Alumno" dataDxfId="69"/>
    <tableColumn id="2" xr3:uid="{00000000-0010-0000-0000-000002000000}" name="Apellido" dataDxfId="68"/>
    <tableColumn id="3" xr3:uid="{00000000-0010-0000-0000-000003000000}" name="Nombre" dataDxfId="67"/>
    <tableColumn id="4" xr3:uid="{00000000-0010-0000-0000-000004000000}" name="DNI" dataDxfId="66"/>
    <tableColumn id="5" xr3:uid="{00000000-0010-0000-0000-000005000000}" name="Fecha_Nac." dataDxfId="65"/>
    <tableColumn id="6" xr3:uid="{00000000-0010-0000-0000-000006000000}" name="Año" dataDxfId="64"/>
    <tableColumn id="7" xr3:uid="{00000000-0010-0000-0000-000007000000}" name="División" dataDxfId="63"/>
    <tableColumn id="8" xr3:uid="{00000000-0010-0000-0000-000008000000}" name="Turno" dataDxfId="62"/>
    <tableColumn id="9" xr3:uid="{00000000-0010-0000-0000-000009000000}" name="Dirección" dataDxfId="61"/>
    <tableColumn id="10" xr3:uid="{00000000-0010-0000-0000-00000A000000}" name="Teléfono_Alumno" dataDxfId="60"/>
    <tableColumn id="11" xr3:uid="{00000000-0010-0000-0000-00000B000000}" name="Email_Alumno" dataDxfId="59"/>
    <tableColumn id="12" xr3:uid="{00000000-0010-0000-0000-00000C000000}" name="Apellido_Padre" dataDxfId="58"/>
    <tableColumn id="13" xr3:uid="{00000000-0010-0000-0000-00000D000000}" name="Nombre_Padre" dataDxfId="57"/>
    <tableColumn id="14" xr3:uid="{00000000-0010-0000-0000-00000E000000}" name="DNI_Padre" dataDxfId="56"/>
    <tableColumn id="15" xr3:uid="{00000000-0010-0000-0000-00000F000000}" name="Teléfono_Padre" dataDxfId="55"/>
    <tableColumn id="16" xr3:uid="{00000000-0010-0000-0000-000010000000}" name="Apellido_Madre" dataDxfId="54"/>
    <tableColumn id="17" xr3:uid="{00000000-0010-0000-0000-000011000000}" name="Nombre_Madre" dataDxfId="53"/>
    <tableColumn id="18" xr3:uid="{00000000-0010-0000-0000-000012000000}" name="DNI_Madre" dataDxfId="52"/>
    <tableColumn id="19" xr3:uid="{00000000-0010-0000-0000-000013000000}" name="Teléfono_Madre" dataDxfId="51"/>
    <tableColumn id="20" xr3:uid="{00000000-0010-0000-0000-000014000000}" name="Apellido_Tutor" dataDxfId="50"/>
    <tableColumn id="21" xr3:uid="{00000000-0010-0000-0000-000015000000}" name="Nombre_Tutor" dataDxfId="49"/>
    <tableColumn id="22" xr3:uid="{00000000-0010-0000-0000-000016000000}" name="DNI_Tutor" dataDxfId="48"/>
    <tableColumn id="23" xr3:uid="{00000000-0010-0000-0000-000017000000}" name="Teléfono_Tutor" dataDxfId="47"/>
    <tableColumn id="24" xr3:uid="{00000000-0010-0000-0000-000018000000}" name="Observaciones" dataDxfId="4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aProfesores" displayName="TablaProfesores" ref="A1:H12" totalsRowShown="0" headerRowDxfId="35" dataDxfId="34">
  <autoFilter ref="A1:H12" xr:uid="{00000000-0009-0000-0100-000005000000}"/>
  <tableColumns count="8">
    <tableColumn id="1" xr3:uid="{00000000-0010-0000-0100-000001000000}" name="ID_Profesor" dataDxfId="43"/>
    <tableColumn id="2" xr3:uid="{00000000-0010-0000-0100-000002000000}" name="Apellido" dataDxfId="42"/>
    <tableColumn id="3" xr3:uid="{00000000-0010-0000-0100-000003000000}" name="Nombre" dataDxfId="41"/>
    <tableColumn id="4" xr3:uid="{00000000-0010-0000-0100-000004000000}" name="DNI" dataDxfId="40"/>
    <tableColumn id="5" xr3:uid="{00000000-0010-0000-0100-000005000000}" name="Teléfono" dataDxfId="39"/>
    <tableColumn id="6" xr3:uid="{00000000-0010-0000-0100-000006000000}" name="Email" dataDxfId="38"/>
    <tableColumn id="7" xr3:uid="{00000000-0010-0000-0100-000007000000}" name="Materia_Principal" dataDxfId="37"/>
    <tableColumn id="8" xr3:uid="{00000000-0010-0000-0100-000008000000}" name="Cursos_Asignados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PlanMaterias" displayName="TablaPlanMaterias" ref="A1:G25" totalsRowShown="0" headerRowDxfId="26" dataDxfId="25">
  <autoFilter ref="A1:G25" xr:uid="{00000000-0009-0000-0100-000004000000}"/>
  <tableColumns count="7">
    <tableColumn id="1" xr3:uid="{00000000-0010-0000-0200-000001000000}" name="Año" dataDxfId="33"/>
    <tableColumn id="2" xr3:uid="{00000000-0010-0000-0200-000002000000}" name="División" dataDxfId="32"/>
    <tableColumn id="3" xr3:uid="{00000000-0010-0000-0200-000003000000}" name="Turno" dataDxfId="31"/>
    <tableColumn id="4" xr3:uid="{00000000-0010-0000-0200-000004000000}" name="Materia" dataDxfId="30"/>
    <tableColumn id="5" xr3:uid="{00000000-0010-0000-0200-000005000000}" name="ID_Profesor" dataDxfId="29"/>
    <tableColumn id="6" xr3:uid="{00000000-0010-0000-0200-000006000000}" name="Profesor_Asignado" dataDxfId="28"/>
    <tableColumn id="7" xr3:uid="{00000000-0010-0000-0200-000007000000}" name="Cant._Alumnos_del_Curso" dataDxfId="2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Notas" displayName="TablaNotas" ref="A1:M241" totalsRowShown="0" headerRowDxfId="11" dataDxfId="10">
  <autoFilter ref="A1:M241" xr:uid="{00000000-0009-0000-0100-000003000000}"/>
  <tableColumns count="13">
    <tableColumn id="1" xr3:uid="{00000000-0010-0000-0300-000001000000}" name="ID_Alumno" dataDxfId="24"/>
    <tableColumn id="2" xr3:uid="{00000000-0010-0000-0300-000002000000}" name="Alumno" dataDxfId="23"/>
    <tableColumn id="3" xr3:uid="{00000000-0010-0000-0300-000003000000}" name="Año" dataDxfId="22"/>
    <tableColumn id="4" xr3:uid="{00000000-0010-0000-0300-000004000000}" name="División" dataDxfId="21"/>
    <tableColumn id="5" xr3:uid="{00000000-0010-0000-0300-000005000000}" name="Materia" dataDxfId="20"/>
    <tableColumn id="6" xr3:uid="{00000000-0010-0000-0300-000006000000}" name="ID_Profesor" dataDxfId="19"/>
    <tableColumn id="7" xr3:uid="{00000000-0010-0000-0300-000007000000}" name="Profesor" dataDxfId="18"/>
    <tableColumn id="8" xr3:uid="{00000000-0010-0000-0300-000008000000}" name="Nota_1er_Trim." dataDxfId="17"/>
    <tableColumn id="9" xr3:uid="{00000000-0010-0000-0300-000009000000}" name="Nota_2do_Trim." dataDxfId="16"/>
    <tableColumn id="10" xr3:uid="{00000000-0010-0000-0300-00000A000000}" name="Nota_3er_Trim." dataDxfId="15"/>
    <tableColumn id="11" xr3:uid="{00000000-0010-0000-0300-00000B000000}" name="Promedio" dataDxfId="14"/>
    <tableColumn id="12" xr3:uid="{00000000-0010-0000-0300-00000C000000}" name="Condición" dataDxfId="13"/>
    <tableColumn id="13" xr3:uid="{00000000-0010-0000-0300-00000D000000}" name="Observación" dataDxfId="1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aAsistencia" displayName="TablaAsistencia" ref="A1:H151" totalsRowShown="0" headerRowDxfId="1" dataDxfId="0">
  <autoFilter ref="A1:H151" xr:uid="{00000000-0009-0000-0100-000002000000}"/>
  <tableColumns count="8">
    <tableColumn id="1" xr3:uid="{00000000-0010-0000-0400-000001000000}" name="Fecha" dataDxfId="9"/>
    <tableColumn id="2" xr3:uid="{00000000-0010-0000-0400-000002000000}" name="Año" dataDxfId="8"/>
    <tableColumn id="3" xr3:uid="{00000000-0010-0000-0400-000003000000}" name="División" dataDxfId="7"/>
    <tableColumn id="4" xr3:uid="{00000000-0010-0000-0400-000004000000}" name="Turno" dataDxfId="6"/>
    <tableColumn id="5" xr3:uid="{00000000-0010-0000-0400-000005000000}" name="ID_Alumno" dataDxfId="5"/>
    <tableColumn id="6" xr3:uid="{00000000-0010-0000-0400-000006000000}" name="Alumno" dataDxfId="4"/>
    <tableColumn id="7" xr3:uid="{00000000-0010-0000-0400-000007000000}" name="Estado" dataDxfId="3"/>
    <tableColumn id="8" xr3:uid="{00000000-0010-0000-0400-000008000000}" name="Observación_Precepto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3"/>
  <sheetViews>
    <sheetView showGridLines="0" topLeftCell="A6" zoomScaleNormal="100" workbookViewId="0"/>
  </sheetViews>
  <sheetFormatPr baseColWidth="10" defaultColWidth="8.7109375" defaultRowHeight="15" x14ac:dyDescent="0.25"/>
  <cols>
    <col min="1" max="1" width="3" customWidth="1"/>
    <col min="2" max="2" width="16" customWidth="1"/>
    <col min="3" max="3" width="14" customWidth="1"/>
    <col min="4" max="4" width="16" customWidth="1"/>
    <col min="5" max="5" width="20" customWidth="1"/>
    <col min="6" max="7" width="14" customWidth="1"/>
    <col min="8" max="14" width="6" customWidth="1"/>
  </cols>
  <sheetData>
    <row r="2" spans="2:13" ht="26.25" x14ac:dyDescent="0.4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x14ac:dyDescent="0.25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2:13" ht="18" customHeight="1" x14ac:dyDescent="0.25">
      <c r="B5" s="5" t="s">
        <v>2</v>
      </c>
      <c r="C5" s="5"/>
      <c r="D5" s="5"/>
      <c r="F5" s="5" t="s">
        <v>3</v>
      </c>
      <c r="G5" s="5"/>
      <c r="H5" s="5"/>
      <c r="J5" s="5" t="s">
        <v>4</v>
      </c>
      <c r="K5" s="5"/>
      <c r="L5" s="5"/>
    </row>
    <row r="6" spans="2:13" ht="21.75" customHeight="1" x14ac:dyDescent="0.25">
      <c r="B6" s="4">
        <f>COUNTA(Alumnos!$A$2:$A$31)</f>
        <v>30</v>
      </c>
      <c r="C6" s="4"/>
      <c r="D6" s="4"/>
      <c r="F6" s="4">
        <f>COUNTA(Profesores!$A$2:$A$12)</f>
        <v>11</v>
      </c>
      <c r="G6" s="4"/>
      <c r="H6" s="4"/>
      <c r="J6" s="4">
        <f>SUMPRODUCT(1/COUNTIFS(Alumnos!$F$2:$F$31,Alumnos!$F$2:$F$31,Alumnos!$G$2:$G$31,Alumnos!$G$2:$G$31))</f>
        <v>3.0000000000000013</v>
      </c>
      <c r="K6" s="4"/>
      <c r="L6" s="4"/>
    </row>
    <row r="7" spans="2:13" x14ac:dyDescent="0.25">
      <c r="B7" s="4"/>
      <c r="C7" s="4"/>
      <c r="D7" s="4"/>
      <c r="F7" s="4"/>
      <c r="G7" s="4"/>
      <c r="H7" s="4"/>
      <c r="J7" s="4"/>
      <c r="K7" s="4"/>
      <c r="L7" s="4"/>
    </row>
    <row r="9" spans="2:13" ht="18" customHeight="1" x14ac:dyDescent="0.25">
      <c r="B9" s="5" t="s">
        <v>5</v>
      </c>
      <c r="C9" s="5"/>
      <c r="D9" s="5"/>
      <c r="F9" s="5" t="s">
        <v>6</v>
      </c>
      <c r="G9" s="5"/>
      <c r="H9" s="5"/>
    </row>
    <row r="10" spans="2:13" ht="21.75" customHeight="1" x14ac:dyDescent="0.25">
      <c r="B10" s="3">
        <f>IFERROR(ROUND(AVERAGE(Notas!$K$2:$K$241),2),"")</f>
        <v>7.07</v>
      </c>
      <c r="C10" s="3"/>
      <c r="D10" s="3"/>
      <c r="F10" s="2">
        <f>IFERROR(COUNTIF(Asistencia!$G$2:$G$151,"Presente")/COUNTA(Asistencia!$G$2:$G$151),"")</f>
        <v>0.56000000000000005</v>
      </c>
      <c r="G10" s="2"/>
      <c r="H10" s="2"/>
    </row>
    <row r="11" spans="2:13" x14ac:dyDescent="0.25">
      <c r="B11" s="3"/>
      <c r="C11" s="3"/>
      <c r="D11" s="3"/>
      <c r="F11" s="2"/>
      <c r="G11" s="2"/>
      <c r="H11" s="2"/>
    </row>
    <row r="14" spans="2:13" ht="15.75" x14ac:dyDescent="0.25">
      <c r="B14" s="10" t="s">
        <v>7</v>
      </c>
    </row>
    <row r="15" spans="2:13" x14ac:dyDescent="0.25">
      <c r="B15" s="9" t="s">
        <v>8</v>
      </c>
      <c r="C15" s="9" t="s">
        <v>9</v>
      </c>
      <c r="D15" s="9" t="s">
        <v>10</v>
      </c>
      <c r="E15" s="9" t="s">
        <v>11</v>
      </c>
      <c r="F15" s="9" t="s">
        <v>12</v>
      </c>
    </row>
    <row r="16" spans="2:13" x14ac:dyDescent="0.25">
      <c r="B16" s="11" t="s">
        <v>13</v>
      </c>
      <c r="C16" s="11" t="s">
        <v>14</v>
      </c>
      <c r="D16" s="12">
        <f>COUNTIFS(Alumnos!$F$2:$F$31,1,Alumnos!$G$2:$G$31,"A")</f>
        <v>10</v>
      </c>
      <c r="E16" s="12">
        <f>IFERROR(ROUND(AVERAGEIFS(Notas!$K$2:$K$241,Notas!$C$2:$C$241,1,Notas!$D$2:$D$241,"A"),2),"")</f>
        <v>7.18</v>
      </c>
      <c r="F16" s="13">
        <f>IFERROR(COUNTIFS(Asistencia!$B$2:$B$151,1,Asistencia!$C$2:$C$151,"A",Asistencia!$G$2:$G$151,"Presente")/COUNTIFS(Asistencia!$B$2:$B$151,1,Asistencia!$C$2:$C$151,"A"),"")</f>
        <v>0.52</v>
      </c>
    </row>
    <row r="17" spans="2:7" x14ac:dyDescent="0.25">
      <c r="B17" s="11" t="s">
        <v>15</v>
      </c>
      <c r="C17" s="11" t="s">
        <v>14</v>
      </c>
      <c r="D17" s="12">
        <f>COUNTIFS(Alumnos!$F$2:$F$31,2,Alumnos!$G$2:$G$31,"A")</f>
        <v>10</v>
      </c>
      <c r="E17" s="12">
        <f>IFERROR(ROUND(AVERAGEIFS(Notas!$K$2:$K$241,Notas!$C$2:$C$241,2,Notas!$D$2:$D$241,"A"),2),"")</f>
        <v>7.16</v>
      </c>
      <c r="F17" s="13">
        <f>IFERROR(COUNTIFS(Asistencia!$B$2:$B$151,2,Asistencia!$C$2:$C$151,"A",Asistencia!$G$2:$G$151,"Presente")/COUNTIFS(Asistencia!$B$2:$B$151,2,Asistencia!$C$2:$C$151,"A"),"")</f>
        <v>0.5</v>
      </c>
    </row>
    <row r="18" spans="2:7" x14ac:dyDescent="0.25">
      <c r="B18" s="11" t="s">
        <v>16</v>
      </c>
      <c r="C18" s="11" t="s">
        <v>17</v>
      </c>
      <c r="D18" s="12">
        <f>COUNTIFS(Alumnos!$F$2:$F$31,3,Alumnos!$G$2:$G$31,"A")</f>
        <v>10</v>
      </c>
      <c r="E18" s="12">
        <f>IFERROR(ROUND(AVERAGEIFS(Notas!$K$2:$K$241,Notas!$C$2:$C$241,3,Notas!$D$2:$D$241,"A"),2),"")</f>
        <v>6.87</v>
      </c>
      <c r="F18" s="13">
        <f>IFERROR(COUNTIFS(Asistencia!$B$2:$B$151,3,Asistencia!$C$2:$C$151,"A",Asistencia!$G$2:$G$151,"Presente")/COUNTIFS(Asistencia!$B$2:$B$151,3,Asistencia!$C$2:$C$151,"A"),"")</f>
        <v>0.66</v>
      </c>
    </row>
    <row r="21" spans="2:7" ht="15.75" x14ac:dyDescent="0.25">
      <c r="B21" s="10" t="s">
        <v>18</v>
      </c>
      <c r="F21" s="10" t="s">
        <v>19</v>
      </c>
    </row>
    <row r="22" spans="2:7" x14ac:dyDescent="0.25">
      <c r="B22" s="9" t="s">
        <v>20</v>
      </c>
      <c r="C22" s="9" t="s">
        <v>21</v>
      </c>
      <c r="F22" s="9" t="s">
        <v>22</v>
      </c>
      <c r="G22" s="9" t="s">
        <v>23</v>
      </c>
    </row>
    <row r="23" spans="2:7" x14ac:dyDescent="0.25">
      <c r="B23" s="11" t="s">
        <v>24</v>
      </c>
      <c r="C23" s="12">
        <f>IFERROR(ROUND(AVERAGEIFS(Notas!$K$2:$K$241,Notas!$E$2:$E$241,$B23),2),"")</f>
        <v>7.1</v>
      </c>
      <c r="F23" s="11" t="s">
        <v>25</v>
      </c>
      <c r="G23" s="12">
        <f>COUNTIF(Asistencia!$G$2:$G$151,$F23)</f>
        <v>84</v>
      </c>
    </row>
    <row r="24" spans="2:7" ht="25.5" x14ac:dyDescent="0.25">
      <c r="B24" s="11" t="s">
        <v>26</v>
      </c>
      <c r="C24" s="12">
        <f>IFERROR(ROUND(AVERAGEIFS(Notas!$K$2:$K$241,Notas!$E$2:$E$241,$B24),2),"")</f>
        <v>6.67</v>
      </c>
      <c r="F24" s="11" t="s">
        <v>27</v>
      </c>
      <c r="G24" s="12">
        <f>COUNTIF(Asistencia!$G$2:$G$151,$F24)</f>
        <v>23</v>
      </c>
    </row>
    <row r="25" spans="2:7" x14ac:dyDescent="0.25">
      <c r="B25" s="11" t="s">
        <v>28</v>
      </c>
      <c r="C25" s="12">
        <f>IFERROR(ROUND(AVERAGEIFS(Notas!$K$2:$K$241,Notas!$E$2:$E$241,$B25),2),"")</f>
        <v>6.89</v>
      </c>
      <c r="F25" s="11" t="s">
        <v>17</v>
      </c>
      <c r="G25" s="12">
        <f>COUNTIF(Asistencia!$G$2:$G$151,$F25)</f>
        <v>30</v>
      </c>
    </row>
    <row r="26" spans="2:7" ht="25.5" x14ac:dyDescent="0.25">
      <c r="B26" s="11" t="s">
        <v>29</v>
      </c>
      <c r="C26" s="12">
        <f>IFERROR(ROUND(AVERAGEIFS(Notas!$K$2:$K$241,Notas!$E$2:$E$241,$B26),2),"")</f>
        <v>7.67</v>
      </c>
      <c r="F26" s="11" t="s">
        <v>30</v>
      </c>
      <c r="G26" s="12">
        <f>COUNTIF(Asistencia!$G$2:$G$151,$F26)</f>
        <v>13</v>
      </c>
    </row>
    <row r="27" spans="2:7" x14ac:dyDescent="0.25">
      <c r="B27" s="11" t="s">
        <v>31</v>
      </c>
      <c r="C27" s="12">
        <f>IFERROR(ROUND(AVERAGEIFS(Notas!$K$2:$K$241,Notas!$E$2:$E$241,$B27),2),"")</f>
        <v>6.97</v>
      </c>
    </row>
    <row r="28" spans="2:7" x14ac:dyDescent="0.25">
      <c r="B28" s="11" t="s">
        <v>32</v>
      </c>
      <c r="C28" s="12">
        <f>IFERROR(ROUND(AVERAGEIFS(Notas!$K$2:$K$241,Notas!$E$2:$E$241,$B28),2),"")</f>
        <v>7.37</v>
      </c>
    </row>
    <row r="29" spans="2:7" x14ac:dyDescent="0.25">
      <c r="B29" s="11" t="s">
        <v>33</v>
      </c>
      <c r="C29" s="12">
        <f>IFERROR(ROUND(AVERAGEIFS(Notas!$K$2:$K$241,Notas!$E$2:$E$241,$B29),2),"")</f>
        <v>7.14</v>
      </c>
    </row>
    <row r="30" spans="2:7" x14ac:dyDescent="0.25">
      <c r="B30" s="11" t="s">
        <v>34</v>
      </c>
      <c r="C30" s="12">
        <f>IFERROR(ROUND(AVERAGEIFS(Notas!$K$2:$K$241,Notas!$E$2:$E$241,$B30),2),"")</f>
        <v>6.89</v>
      </c>
    </row>
    <row r="31" spans="2:7" ht="25.5" x14ac:dyDescent="0.25">
      <c r="B31" s="11" t="s">
        <v>35</v>
      </c>
      <c r="C31" s="12">
        <f>IFERROR(ROUND(AVERAGEIFS(Notas!$K$2:$K$241,Notas!$E$2:$E$241,$B31),2),"")</f>
        <v>7.04</v>
      </c>
    </row>
    <row r="32" spans="2:7" x14ac:dyDescent="0.25">
      <c r="B32" s="11" t="s">
        <v>36</v>
      </c>
      <c r="C32" s="12">
        <f>IFERROR(ROUND(AVERAGEIFS(Notas!$K$2:$K$241,Notas!$E$2:$E$241,$B32),2),"")</f>
        <v>7.01</v>
      </c>
    </row>
    <row r="33" spans="2:3" x14ac:dyDescent="0.25">
      <c r="B33" s="11" t="s">
        <v>37</v>
      </c>
      <c r="C33" s="12">
        <f>IFERROR(ROUND(AVERAGEIFS(Notas!$K$2:$K$241,Notas!$E$2:$E$241,$B33),2),"")</f>
        <v>7.17</v>
      </c>
    </row>
  </sheetData>
  <mergeCells count="12">
    <mergeCell ref="B10:D11"/>
    <mergeCell ref="F10:H11"/>
    <mergeCell ref="B6:D7"/>
    <mergeCell ref="F6:H7"/>
    <mergeCell ref="J6:L7"/>
    <mergeCell ref="B9:D9"/>
    <mergeCell ref="F9:H9"/>
    <mergeCell ref="B2:M2"/>
    <mergeCell ref="B3:M3"/>
    <mergeCell ref="B5:D5"/>
    <mergeCell ref="F5:H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B2:I28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20" customWidth="1"/>
    <col min="3" max="9" width="14" customWidth="1"/>
  </cols>
  <sheetData>
    <row r="2" spans="2:9" ht="26.25" x14ac:dyDescent="0.4">
      <c r="B2" s="8" t="s">
        <v>38</v>
      </c>
    </row>
    <row r="4" spans="2:9" ht="16.5" x14ac:dyDescent="0.25">
      <c r="B4" s="14" t="s">
        <v>39</v>
      </c>
    </row>
    <row r="6" spans="2:9" ht="30" customHeight="1" x14ac:dyDescent="0.25">
      <c r="B6" s="15" t="s">
        <v>40</v>
      </c>
      <c r="C6" s="1" t="s">
        <v>41</v>
      </c>
      <c r="D6" s="1"/>
      <c r="E6" s="1"/>
      <c r="F6" s="1"/>
      <c r="G6" s="1"/>
      <c r="H6" s="1"/>
      <c r="I6" s="1"/>
    </row>
    <row r="8" spans="2:9" ht="30" customHeight="1" x14ac:dyDescent="0.25">
      <c r="B8" s="15" t="s">
        <v>42</v>
      </c>
      <c r="C8" s="1" t="s">
        <v>43</v>
      </c>
      <c r="D8" s="1"/>
      <c r="E8" s="1"/>
      <c r="F8" s="1"/>
      <c r="G8" s="1"/>
      <c r="H8" s="1"/>
      <c r="I8" s="1"/>
    </row>
    <row r="10" spans="2:9" ht="30" customHeight="1" x14ac:dyDescent="0.25">
      <c r="B10" s="15" t="s">
        <v>44</v>
      </c>
      <c r="C10" s="1" t="s">
        <v>45</v>
      </c>
      <c r="D10" s="1"/>
      <c r="E10" s="1"/>
      <c r="F10" s="1"/>
      <c r="G10" s="1"/>
      <c r="H10" s="1"/>
      <c r="I10" s="1"/>
    </row>
    <row r="12" spans="2:9" ht="30" customHeight="1" x14ac:dyDescent="0.25">
      <c r="B12" s="15" t="s">
        <v>46</v>
      </c>
      <c r="C12" s="1" t="s">
        <v>47</v>
      </c>
      <c r="D12" s="1"/>
      <c r="E12" s="1"/>
      <c r="F12" s="1"/>
      <c r="G12" s="1"/>
      <c r="H12" s="1"/>
      <c r="I12" s="1"/>
    </row>
    <row r="14" spans="2:9" ht="30" customHeight="1" x14ac:dyDescent="0.25">
      <c r="B14" s="15" t="s">
        <v>48</v>
      </c>
      <c r="C14" s="1" t="s">
        <v>49</v>
      </c>
      <c r="D14" s="1"/>
      <c r="E14" s="1"/>
      <c r="F14" s="1"/>
      <c r="G14" s="1"/>
      <c r="H14" s="1"/>
      <c r="I14" s="1"/>
    </row>
    <row r="16" spans="2:9" ht="30" customHeight="1" x14ac:dyDescent="0.25">
      <c r="B16" s="15" t="s">
        <v>50</v>
      </c>
      <c r="C16" s="1" t="s">
        <v>51</v>
      </c>
      <c r="D16" s="1"/>
      <c r="E16" s="1"/>
      <c r="F16" s="1"/>
      <c r="G16" s="1"/>
      <c r="H16" s="1"/>
      <c r="I16" s="1"/>
    </row>
    <row r="19" spans="2:9" ht="16.5" x14ac:dyDescent="0.25">
      <c r="B19" s="14" t="s">
        <v>52</v>
      </c>
    </row>
    <row r="21" spans="2:9" x14ac:dyDescent="0.25">
      <c r="B21" s="16" t="s">
        <v>53</v>
      </c>
      <c r="C21" s="17" t="s">
        <v>54</v>
      </c>
    </row>
    <row r="22" spans="2:9" x14ac:dyDescent="0.25">
      <c r="B22" s="18" t="s">
        <v>53</v>
      </c>
      <c r="C22" s="17" t="s">
        <v>55</v>
      </c>
    </row>
    <row r="24" spans="2:9" ht="16.5" x14ac:dyDescent="0.25">
      <c r="B24" s="14" t="s">
        <v>56</v>
      </c>
    </row>
    <row r="25" spans="2:9" ht="27.75" customHeight="1" x14ac:dyDescent="0.25">
      <c r="B25" s="1" t="s">
        <v>57</v>
      </c>
      <c r="C25" s="1"/>
      <c r="D25" s="1"/>
      <c r="E25" s="1"/>
      <c r="F25" s="1"/>
      <c r="G25" s="1"/>
      <c r="H25" s="1"/>
      <c r="I25" s="1"/>
    </row>
    <row r="26" spans="2:9" ht="27.75" customHeight="1" x14ac:dyDescent="0.25">
      <c r="B26" s="1" t="s">
        <v>58</v>
      </c>
      <c r="C26" s="1"/>
      <c r="D26" s="1"/>
      <c r="E26" s="1"/>
      <c r="F26" s="1"/>
      <c r="G26" s="1"/>
      <c r="H26" s="1"/>
      <c r="I26" s="1"/>
    </row>
    <row r="27" spans="2:9" ht="27.75" customHeight="1" x14ac:dyDescent="0.25">
      <c r="B27" s="1" t="s">
        <v>59</v>
      </c>
      <c r="C27" s="1"/>
      <c r="D27" s="1"/>
      <c r="E27" s="1"/>
      <c r="F27" s="1"/>
      <c r="G27" s="1"/>
      <c r="H27" s="1"/>
      <c r="I27" s="1"/>
    </row>
    <row r="28" spans="2:9" ht="27.75" customHeight="1" x14ac:dyDescent="0.25">
      <c r="B28" s="1" t="s">
        <v>60</v>
      </c>
      <c r="C28" s="1"/>
      <c r="D28" s="1"/>
      <c r="E28" s="1"/>
      <c r="F28" s="1"/>
      <c r="G28" s="1"/>
      <c r="H28" s="1"/>
      <c r="I28" s="1"/>
    </row>
  </sheetData>
  <mergeCells count="10">
    <mergeCell ref="C16:I16"/>
    <mergeCell ref="B25:I25"/>
    <mergeCell ref="B26:I26"/>
    <mergeCell ref="B27:I27"/>
    <mergeCell ref="B28:I28"/>
    <mergeCell ref="C6:I6"/>
    <mergeCell ref="C8:I8"/>
    <mergeCell ref="C10:I10"/>
    <mergeCell ref="C12:I12"/>
    <mergeCell ref="C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1"/>
  <sheetViews>
    <sheetView showGridLines="0" tabSelected="1" zoomScaleNormal="100" workbookViewId="0">
      <pane ySplit="1" topLeftCell="A2" activePane="bottomLeft" state="frozen"/>
      <selection pane="bottomLeft" sqref="A1:XFD1048576"/>
    </sheetView>
  </sheetViews>
  <sheetFormatPr baseColWidth="10" defaultColWidth="8.7109375" defaultRowHeight="11.25" x14ac:dyDescent="0.2"/>
  <cols>
    <col min="1" max="1" width="14" style="25" bestFit="1" customWidth="1"/>
    <col min="2" max="2" width="12" style="25" bestFit="1" customWidth="1"/>
    <col min="3" max="3" width="11.85546875" style="25" bestFit="1" customWidth="1"/>
    <col min="4" max="4" width="8" style="25" bestFit="1" customWidth="1"/>
    <col min="5" max="5" width="14.140625" style="25" bestFit="1" customWidth="1"/>
    <col min="6" max="6" width="8.7109375" style="25" bestFit="1" customWidth="1"/>
    <col min="7" max="7" width="11.7109375" style="25" bestFit="1" customWidth="1"/>
    <col min="8" max="8" width="10.28515625" style="25" bestFit="1" customWidth="1"/>
    <col min="9" max="9" width="14.7109375" style="25" bestFit="1" customWidth="1"/>
    <col min="10" max="10" width="19.5703125" style="25" bestFit="1" customWidth="1"/>
    <col min="11" max="11" width="33.5703125" style="25" customWidth="1"/>
    <col min="12" max="12" width="17.42578125" style="25" bestFit="1" customWidth="1"/>
    <col min="13" max="13" width="17.28515625" style="25" bestFit="1" customWidth="1"/>
    <col min="14" max="14" width="13.42578125" style="25" bestFit="1" customWidth="1"/>
    <col min="15" max="15" width="18" style="25" bestFit="1" customWidth="1"/>
    <col min="16" max="16" width="17.85546875" style="25" bestFit="1" customWidth="1"/>
    <col min="17" max="17" width="17.7109375" style="25" bestFit="1" customWidth="1"/>
    <col min="18" max="18" width="13.85546875" style="25" bestFit="1" customWidth="1"/>
    <col min="19" max="19" width="18.42578125" style="25" bestFit="1" customWidth="1"/>
    <col min="20" max="20" width="17.140625" style="25" bestFit="1" customWidth="1"/>
    <col min="21" max="21" width="17" style="25" bestFit="1" customWidth="1"/>
    <col min="22" max="22" width="13.140625" style="25" bestFit="1" customWidth="1"/>
    <col min="23" max="23" width="17.7109375" style="25" bestFit="1" customWidth="1"/>
    <col min="24" max="24" width="17.42578125" style="25" bestFit="1" customWidth="1"/>
    <col min="25" max="16384" width="8.7109375" style="25"/>
  </cols>
  <sheetData>
    <row r="1" spans="1:24" x14ac:dyDescent="0.2">
      <c r="A1" s="23" t="s">
        <v>61</v>
      </c>
      <c r="B1" s="23" t="s">
        <v>62</v>
      </c>
      <c r="C1" s="23" t="s">
        <v>63</v>
      </c>
      <c r="D1" s="23" t="s">
        <v>64</v>
      </c>
      <c r="E1" s="23" t="s">
        <v>65</v>
      </c>
      <c r="F1" s="23" t="s">
        <v>66</v>
      </c>
      <c r="G1" s="23" t="s">
        <v>67</v>
      </c>
      <c r="H1" s="23" t="s">
        <v>9</v>
      </c>
      <c r="I1" s="23" t="s">
        <v>68</v>
      </c>
      <c r="J1" s="23" t="s">
        <v>69</v>
      </c>
      <c r="K1" s="23" t="s">
        <v>70</v>
      </c>
      <c r="L1" s="23" t="s">
        <v>71</v>
      </c>
      <c r="M1" s="23" t="s">
        <v>72</v>
      </c>
      <c r="N1" s="23" t="s">
        <v>73</v>
      </c>
      <c r="O1" s="23" t="s">
        <v>74</v>
      </c>
      <c r="P1" s="23" t="s">
        <v>75</v>
      </c>
      <c r="Q1" s="23" t="s">
        <v>76</v>
      </c>
      <c r="R1" s="23" t="s">
        <v>77</v>
      </c>
      <c r="S1" s="23" t="s">
        <v>78</v>
      </c>
      <c r="T1" s="23" t="s">
        <v>79</v>
      </c>
      <c r="U1" s="23" t="s">
        <v>80</v>
      </c>
      <c r="V1" s="23" t="s">
        <v>81</v>
      </c>
      <c r="W1" s="23" t="s">
        <v>82</v>
      </c>
      <c r="X1" s="23" t="s">
        <v>83</v>
      </c>
    </row>
    <row r="2" spans="1:24" x14ac:dyDescent="0.2">
      <c r="A2" s="24" t="s">
        <v>84</v>
      </c>
      <c r="B2" s="24" t="s">
        <v>85</v>
      </c>
      <c r="C2" s="24" t="s">
        <v>86</v>
      </c>
      <c r="D2" s="24">
        <v>34614226</v>
      </c>
      <c r="E2" s="24" t="s">
        <v>87</v>
      </c>
      <c r="F2" s="24">
        <v>1</v>
      </c>
      <c r="G2" s="24" t="s">
        <v>88</v>
      </c>
      <c r="H2" s="24" t="s">
        <v>14</v>
      </c>
      <c r="I2" s="24" t="s">
        <v>89</v>
      </c>
      <c r="J2" s="24" t="s">
        <v>90</v>
      </c>
      <c r="K2" s="24" t="s">
        <v>91</v>
      </c>
      <c r="L2" s="24" t="s">
        <v>92</v>
      </c>
      <c r="M2" s="24" t="s">
        <v>93</v>
      </c>
      <c r="N2" s="24">
        <v>30533224</v>
      </c>
      <c r="O2" s="24" t="s">
        <v>94</v>
      </c>
      <c r="P2" s="24" t="s">
        <v>95</v>
      </c>
      <c r="Q2" s="24" t="s">
        <v>96</v>
      </c>
      <c r="R2" s="24">
        <v>38478454</v>
      </c>
      <c r="S2" s="24" t="s">
        <v>97</v>
      </c>
      <c r="T2" s="24"/>
      <c r="U2" s="24"/>
      <c r="V2" s="24"/>
      <c r="W2" s="24"/>
      <c r="X2" s="24"/>
    </row>
    <row r="3" spans="1:24" x14ac:dyDescent="0.2">
      <c r="A3" s="24" t="s">
        <v>98</v>
      </c>
      <c r="B3" s="24" t="s">
        <v>99</v>
      </c>
      <c r="C3" s="24" t="s">
        <v>100</v>
      </c>
      <c r="D3" s="24">
        <v>37038374</v>
      </c>
      <c r="E3" s="24" t="s">
        <v>101</v>
      </c>
      <c r="F3" s="24">
        <v>1</v>
      </c>
      <c r="G3" s="24" t="s">
        <v>88</v>
      </c>
      <c r="H3" s="24" t="s">
        <v>14</v>
      </c>
      <c r="I3" s="24" t="s">
        <v>102</v>
      </c>
      <c r="J3" s="24" t="s">
        <v>103</v>
      </c>
      <c r="K3" s="24" t="s">
        <v>104</v>
      </c>
      <c r="L3" s="24" t="s">
        <v>105</v>
      </c>
      <c r="M3" s="24" t="s">
        <v>93</v>
      </c>
      <c r="N3" s="24">
        <v>35708456</v>
      </c>
      <c r="O3" s="24" t="s">
        <v>106</v>
      </c>
      <c r="P3" s="24" t="s">
        <v>95</v>
      </c>
      <c r="Q3" s="24" t="s">
        <v>107</v>
      </c>
      <c r="R3" s="24">
        <v>35647119</v>
      </c>
      <c r="S3" s="24" t="s">
        <v>108</v>
      </c>
      <c r="T3" s="24"/>
      <c r="U3" s="24"/>
      <c r="V3" s="24"/>
      <c r="W3" s="24"/>
      <c r="X3" s="24"/>
    </row>
    <row r="4" spans="1:24" x14ac:dyDescent="0.2">
      <c r="A4" s="24" t="s">
        <v>109</v>
      </c>
      <c r="B4" s="24" t="s">
        <v>110</v>
      </c>
      <c r="C4" s="24" t="s">
        <v>111</v>
      </c>
      <c r="D4" s="24">
        <v>34437923</v>
      </c>
      <c r="E4" s="24" t="s">
        <v>112</v>
      </c>
      <c r="F4" s="24">
        <v>1</v>
      </c>
      <c r="G4" s="24" t="s">
        <v>88</v>
      </c>
      <c r="H4" s="24" t="s">
        <v>14</v>
      </c>
      <c r="I4" s="24" t="s">
        <v>113</v>
      </c>
      <c r="J4" s="24" t="s">
        <v>114</v>
      </c>
      <c r="K4" s="24" t="s">
        <v>115</v>
      </c>
      <c r="L4" s="24" t="s">
        <v>116</v>
      </c>
      <c r="M4" s="24" t="s">
        <v>93</v>
      </c>
      <c r="N4" s="24">
        <v>31322047</v>
      </c>
      <c r="O4" s="24" t="s">
        <v>117</v>
      </c>
      <c r="P4" s="24" t="s">
        <v>118</v>
      </c>
      <c r="Q4" s="24" t="s">
        <v>119</v>
      </c>
      <c r="R4" s="24">
        <v>40377039</v>
      </c>
      <c r="S4" s="24" t="s">
        <v>120</v>
      </c>
      <c r="T4" s="24"/>
      <c r="U4" s="24"/>
      <c r="V4" s="24"/>
      <c r="W4" s="24"/>
      <c r="X4" s="24"/>
    </row>
    <row r="5" spans="1:24" x14ac:dyDescent="0.2">
      <c r="A5" s="24" t="s">
        <v>121</v>
      </c>
      <c r="B5" s="24" t="s">
        <v>122</v>
      </c>
      <c r="C5" s="24" t="s">
        <v>123</v>
      </c>
      <c r="D5" s="24">
        <v>34855124</v>
      </c>
      <c r="E5" s="24" t="s">
        <v>124</v>
      </c>
      <c r="F5" s="24">
        <v>1</v>
      </c>
      <c r="G5" s="24" t="s">
        <v>88</v>
      </c>
      <c r="H5" s="24" t="s">
        <v>14</v>
      </c>
      <c r="I5" s="24" t="s">
        <v>125</v>
      </c>
      <c r="J5" s="24" t="s">
        <v>126</v>
      </c>
      <c r="K5" s="24" t="s">
        <v>127</v>
      </c>
      <c r="L5" s="24" t="s">
        <v>128</v>
      </c>
      <c r="M5" s="24" t="s">
        <v>129</v>
      </c>
      <c r="N5" s="24">
        <v>43994050</v>
      </c>
      <c r="O5" s="24" t="s">
        <v>130</v>
      </c>
      <c r="P5" s="24" t="s">
        <v>131</v>
      </c>
      <c r="Q5" s="24" t="s">
        <v>132</v>
      </c>
      <c r="R5" s="24">
        <v>33514944</v>
      </c>
      <c r="S5" s="24" t="s">
        <v>133</v>
      </c>
      <c r="T5" s="24"/>
      <c r="U5" s="24"/>
      <c r="V5" s="24"/>
      <c r="W5" s="24"/>
      <c r="X5" s="24"/>
    </row>
    <row r="6" spans="1:24" x14ac:dyDescent="0.2">
      <c r="A6" s="24" t="s">
        <v>134</v>
      </c>
      <c r="B6" s="24" t="s">
        <v>135</v>
      </c>
      <c r="C6" s="24" t="s">
        <v>136</v>
      </c>
      <c r="D6" s="24">
        <v>32741438</v>
      </c>
      <c r="E6" s="24" t="s">
        <v>137</v>
      </c>
      <c r="F6" s="24">
        <v>1</v>
      </c>
      <c r="G6" s="24" t="s">
        <v>88</v>
      </c>
      <c r="H6" s="24" t="s">
        <v>14</v>
      </c>
      <c r="I6" s="24" t="s">
        <v>138</v>
      </c>
      <c r="J6" s="24" t="s">
        <v>139</v>
      </c>
      <c r="K6" s="24" t="s">
        <v>140</v>
      </c>
      <c r="L6" s="24" t="s">
        <v>118</v>
      </c>
      <c r="M6" s="24" t="s">
        <v>141</v>
      </c>
      <c r="N6" s="24">
        <v>43019118</v>
      </c>
      <c r="O6" s="24" t="s">
        <v>142</v>
      </c>
      <c r="P6" s="24" t="s">
        <v>118</v>
      </c>
      <c r="Q6" s="24" t="s">
        <v>86</v>
      </c>
      <c r="R6" s="24">
        <v>43506427</v>
      </c>
      <c r="S6" s="24" t="s">
        <v>143</v>
      </c>
      <c r="T6" s="24"/>
      <c r="U6" s="24"/>
      <c r="V6" s="24"/>
      <c r="W6" s="24"/>
      <c r="X6" s="24"/>
    </row>
    <row r="7" spans="1:24" x14ac:dyDescent="0.2">
      <c r="A7" s="24" t="s">
        <v>144</v>
      </c>
      <c r="B7" s="24" t="s">
        <v>145</v>
      </c>
      <c r="C7" s="24" t="s">
        <v>146</v>
      </c>
      <c r="D7" s="24">
        <v>42044602</v>
      </c>
      <c r="E7" s="24" t="s">
        <v>147</v>
      </c>
      <c r="F7" s="24">
        <v>1</v>
      </c>
      <c r="G7" s="24" t="s">
        <v>88</v>
      </c>
      <c r="H7" s="24" t="s">
        <v>14</v>
      </c>
      <c r="I7" s="24" t="s">
        <v>148</v>
      </c>
      <c r="J7" s="24" t="s">
        <v>149</v>
      </c>
      <c r="K7" s="24" t="s">
        <v>150</v>
      </c>
      <c r="L7" s="24" t="s">
        <v>151</v>
      </c>
      <c r="M7" s="24" t="s">
        <v>152</v>
      </c>
      <c r="N7" s="24">
        <v>32342608</v>
      </c>
      <c r="O7" s="24" t="s">
        <v>153</v>
      </c>
      <c r="P7" s="24" t="s">
        <v>154</v>
      </c>
      <c r="Q7" s="24" t="s">
        <v>100</v>
      </c>
      <c r="R7" s="24">
        <v>39807725</v>
      </c>
      <c r="S7" s="24" t="s">
        <v>155</v>
      </c>
      <c r="T7" s="24"/>
      <c r="U7" s="24"/>
      <c r="V7" s="24"/>
      <c r="W7" s="24"/>
      <c r="X7" s="24"/>
    </row>
    <row r="8" spans="1:24" x14ac:dyDescent="0.2">
      <c r="A8" s="24" t="s">
        <v>156</v>
      </c>
      <c r="B8" s="24" t="s">
        <v>157</v>
      </c>
      <c r="C8" s="24" t="s">
        <v>158</v>
      </c>
      <c r="D8" s="24">
        <v>38279821</v>
      </c>
      <c r="E8" s="24" t="s">
        <v>159</v>
      </c>
      <c r="F8" s="24">
        <v>1</v>
      </c>
      <c r="G8" s="24" t="s">
        <v>88</v>
      </c>
      <c r="H8" s="24" t="s">
        <v>14</v>
      </c>
      <c r="I8" s="24" t="s">
        <v>160</v>
      </c>
      <c r="J8" s="24" t="s">
        <v>161</v>
      </c>
      <c r="K8" s="24" t="s">
        <v>162</v>
      </c>
      <c r="L8" s="24" t="s">
        <v>163</v>
      </c>
      <c r="M8" s="24" t="s">
        <v>129</v>
      </c>
      <c r="N8" s="24">
        <v>37082668</v>
      </c>
      <c r="O8" s="24" t="s">
        <v>164</v>
      </c>
      <c r="P8" s="24" t="s">
        <v>165</v>
      </c>
      <c r="Q8" s="24" t="s">
        <v>166</v>
      </c>
      <c r="R8" s="24">
        <v>39997348</v>
      </c>
      <c r="S8" s="24" t="s">
        <v>167</v>
      </c>
      <c r="T8" s="24"/>
      <c r="U8" s="24"/>
      <c r="V8" s="24"/>
      <c r="W8" s="24"/>
      <c r="X8" s="24"/>
    </row>
    <row r="9" spans="1:24" x14ac:dyDescent="0.2">
      <c r="A9" s="24" t="s">
        <v>168</v>
      </c>
      <c r="B9" s="24" t="s">
        <v>169</v>
      </c>
      <c r="C9" s="24" t="s">
        <v>86</v>
      </c>
      <c r="D9" s="24">
        <v>42091705</v>
      </c>
      <c r="E9" s="24" t="s">
        <v>170</v>
      </c>
      <c r="F9" s="24">
        <v>1</v>
      </c>
      <c r="G9" s="24" t="s">
        <v>88</v>
      </c>
      <c r="H9" s="24" t="s">
        <v>14</v>
      </c>
      <c r="I9" s="24" t="s">
        <v>171</v>
      </c>
      <c r="J9" s="24" t="s">
        <v>172</v>
      </c>
      <c r="K9" s="24" t="s">
        <v>173</v>
      </c>
      <c r="L9" s="24" t="s">
        <v>174</v>
      </c>
      <c r="M9" s="24" t="s">
        <v>152</v>
      </c>
      <c r="N9" s="24">
        <v>37294150</v>
      </c>
      <c r="O9" s="24" t="s">
        <v>175</v>
      </c>
      <c r="P9" s="24" t="s">
        <v>176</v>
      </c>
      <c r="Q9" s="24" t="s">
        <v>100</v>
      </c>
      <c r="R9" s="24">
        <v>44694373</v>
      </c>
      <c r="S9" s="24" t="s">
        <v>177</v>
      </c>
      <c r="T9" s="24"/>
      <c r="U9" s="24"/>
      <c r="V9" s="24"/>
      <c r="W9" s="24"/>
      <c r="X9" s="24"/>
    </row>
    <row r="10" spans="1:24" x14ac:dyDescent="0.2">
      <c r="A10" s="24" t="s">
        <v>178</v>
      </c>
      <c r="B10" s="24" t="s">
        <v>179</v>
      </c>
      <c r="C10" s="24" t="s">
        <v>180</v>
      </c>
      <c r="D10" s="24">
        <v>40490796</v>
      </c>
      <c r="E10" s="24" t="s">
        <v>181</v>
      </c>
      <c r="F10" s="24">
        <v>1</v>
      </c>
      <c r="G10" s="24" t="s">
        <v>88</v>
      </c>
      <c r="H10" s="24" t="s">
        <v>14</v>
      </c>
      <c r="I10" s="24" t="s">
        <v>182</v>
      </c>
      <c r="J10" s="24" t="s">
        <v>183</v>
      </c>
      <c r="K10" s="24" t="s">
        <v>184</v>
      </c>
      <c r="L10" s="24" t="s">
        <v>122</v>
      </c>
      <c r="M10" s="24" t="s">
        <v>185</v>
      </c>
      <c r="N10" s="24">
        <v>39049278</v>
      </c>
      <c r="O10" s="24" t="s">
        <v>186</v>
      </c>
      <c r="P10" s="24" t="s">
        <v>110</v>
      </c>
      <c r="Q10" s="24" t="s">
        <v>132</v>
      </c>
      <c r="R10" s="24">
        <v>38197443</v>
      </c>
      <c r="S10" s="24" t="s">
        <v>187</v>
      </c>
      <c r="T10" s="24"/>
      <c r="U10" s="24"/>
      <c r="V10" s="24"/>
      <c r="W10" s="24"/>
      <c r="X10" s="24"/>
    </row>
    <row r="11" spans="1:24" x14ac:dyDescent="0.2">
      <c r="A11" s="24" t="s">
        <v>188</v>
      </c>
      <c r="B11" s="24" t="s">
        <v>163</v>
      </c>
      <c r="C11" s="24" t="s">
        <v>189</v>
      </c>
      <c r="D11" s="24">
        <v>35159230</v>
      </c>
      <c r="E11" s="24" t="s">
        <v>190</v>
      </c>
      <c r="F11" s="24">
        <v>1</v>
      </c>
      <c r="G11" s="24" t="s">
        <v>88</v>
      </c>
      <c r="H11" s="24" t="s">
        <v>14</v>
      </c>
      <c r="I11" s="24" t="s">
        <v>191</v>
      </c>
      <c r="J11" s="24" t="s">
        <v>192</v>
      </c>
      <c r="K11" s="24" t="s">
        <v>193</v>
      </c>
      <c r="L11" s="24" t="s">
        <v>85</v>
      </c>
      <c r="M11" s="24" t="s">
        <v>194</v>
      </c>
      <c r="N11" s="24">
        <v>43690598</v>
      </c>
      <c r="O11" s="24" t="s">
        <v>195</v>
      </c>
      <c r="P11" s="24" t="s">
        <v>122</v>
      </c>
      <c r="Q11" s="24" t="s">
        <v>158</v>
      </c>
      <c r="R11" s="24">
        <v>32154051</v>
      </c>
      <c r="S11" s="24" t="s">
        <v>196</v>
      </c>
      <c r="T11" s="24"/>
      <c r="U11" s="24"/>
      <c r="V11" s="24"/>
      <c r="W11" s="24"/>
      <c r="X11" s="24"/>
    </row>
    <row r="12" spans="1:24" x14ac:dyDescent="0.2">
      <c r="A12" s="24" t="s">
        <v>197</v>
      </c>
      <c r="B12" s="24" t="s">
        <v>95</v>
      </c>
      <c r="C12" s="24" t="s">
        <v>166</v>
      </c>
      <c r="D12" s="24">
        <v>45584582</v>
      </c>
      <c r="E12" s="24" t="s">
        <v>198</v>
      </c>
      <c r="F12" s="24">
        <v>2</v>
      </c>
      <c r="G12" s="24" t="s">
        <v>88</v>
      </c>
      <c r="H12" s="24" t="s">
        <v>14</v>
      </c>
      <c r="I12" s="24" t="s">
        <v>199</v>
      </c>
      <c r="J12" s="24" t="s">
        <v>200</v>
      </c>
      <c r="K12" s="24" t="s">
        <v>201</v>
      </c>
      <c r="L12" s="24" t="s">
        <v>169</v>
      </c>
      <c r="M12" s="24" t="s">
        <v>129</v>
      </c>
      <c r="N12" s="24">
        <v>36264956</v>
      </c>
      <c r="O12" s="24" t="s">
        <v>202</v>
      </c>
      <c r="P12" s="24" t="s">
        <v>128</v>
      </c>
      <c r="Q12" s="24" t="s">
        <v>180</v>
      </c>
      <c r="R12" s="24">
        <v>34159166</v>
      </c>
      <c r="S12" s="24" t="s">
        <v>203</v>
      </c>
      <c r="T12" s="24"/>
      <c r="U12" s="24"/>
      <c r="V12" s="24"/>
      <c r="W12" s="24"/>
      <c r="X12" s="24"/>
    </row>
    <row r="13" spans="1:24" x14ac:dyDescent="0.2">
      <c r="A13" s="24" t="s">
        <v>204</v>
      </c>
      <c r="B13" s="24" t="s">
        <v>92</v>
      </c>
      <c r="C13" s="24" t="s">
        <v>96</v>
      </c>
      <c r="D13" s="24">
        <v>33694634</v>
      </c>
      <c r="E13" s="24" t="s">
        <v>205</v>
      </c>
      <c r="F13" s="24">
        <v>2</v>
      </c>
      <c r="G13" s="24" t="s">
        <v>88</v>
      </c>
      <c r="H13" s="24" t="s">
        <v>14</v>
      </c>
      <c r="I13" s="24" t="s">
        <v>206</v>
      </c>
      <c r="J13" s="24" t="s">
        <v>207</v>
      </c>
      <c r="K13" s="24" t="s">
        <v>208</v>
      </c>
      <c r="L13" s="24" t="s">
        <v>145</v>
      </c>
      <c r="M13" s="24" t="s">
        <v>209</v>
      </c>
      <c r="N13" s="24">
        <v>44422288</v>
      </c>
      <c r="O13" s="24" t="s">
        <v>210</v>
      </c>
      <c r="P13" s="24" t="s">
        <v>157</v>
      </c>
      <c r="Q13" s="24" t="s">
        <v>96</v>
      </c>
      <c r="R13" s="24">
        <v>34672073</v>
      </c>
      <c r="S13" s="24" t="s">
        <v>211</v>
      </c>
      <c r="T13" s="24"/>
      <c r="U13" s="24"/>
      <c r="V13" s="24"/>
      <c r="W13" s="24"/>
      <c r="X13" s="24"/>
    </row>
    <row r="14" spans="1:24" x14ac:dyDescent="0.2">
      <c r="A14" s="24" t="s">
        <v>212</v>
      </c>
      <c r="B14" s="24" t="s">
        <v>92</v>
      </c>
      <c r="C14" s="24" t="s">
        <v>213</v>
      </c>
      <c r="D14" s="24">
        <v>39667227</v>
      </c>
      <c r="E14" s="24" t="s">
        <v>214</v>
      </c>
      <c r="F14" s="24">
        <v>2</v>
      </c>
      <c r="G14" s="24" t="s">
        <v>88</v>
      </c>
      <c r="H14" s="24" t="s">
        <v>14</v>
      </c>
      <c r="I14" s="24" t="s">
        <v>215</v>
      </c>
      <c r="J14" s="24" t="s">
        <v>216</v>
      </c>
      <c r="K14" s="24" t="s">
        <v>217</v>
      </c>
      <c r="L14" s="24" t="s">
        <v>174</v>
      </c>
      <c r="M14" s="24" t="s">
        <v>218</v>
      </c>
      <c r="N14" s="24">
        <v>41055895</v>
      </c>
      <c r="O14" s="24" t="s">
        <v>219</v>
      </c>
      <c r="P14" s="24" t="s">
        <v>220</v>
      </c>
      <c r="Q14" s="24" t="s">
        <v>166</v>
      </c>
      <c r="R14" s="24">
        <v>37835373</v>
      </c>
      <c r="S14" s="24" t="s">
        <v>221</v>
      </c>
      <c r="T14" s="24" t="s">
        <v>85</v>
      </c>
      <c r="U14" s="24" t="s">
        <v>129</v>
      </c>
      <c r="V14" s="24">
        <v>43431713</v>
      </c>
      <c r="W14" s="24" t="s">
        <v>222</v>
      </c>
      <c r="X14" s="24"/>
    </row>
    <row r="15" spans="1:24" x14ac:dyDescent="0.2">
      <c r="A15" s="24" t="s">
        <v>223</v>
      </c>
      <c r="B15" s="24" t="s">
        <v>128</v>
      </c>
      <c r="C15" s="24" t="s">
        <v>224</v>
      </c>
      <c r="D15" s="24">
        <v>32351868</v>
      </c>
      <c r="E15" s="24" t="s">
        <v>225</v>
      </c>
      <c r="F15" s="24">
        <v>2</v>
      </c>
      <c r="G15" s="24" t="s">
        <v>88</v>
      </c>
      <c r="H15" s="24" t="s">
        <v>14</v>
      </c>
      <c r="I15" s="24" t="s">
        <v>226</v>
      </c>
      <c r="J15" s="24" t="s">
        <v>227</v>
      </c>
      <c r="K15" s="24" t="s">
        <v>228</v>
      </c>
      <c r="L15" s="24" t="s">
        <v>128</v>
      </c>
      <c r="M15" s="24" t="s">
        <v>141</v>
      </c>
      <c r="N15" s="24">
        <v>44451039</v>
      </c>
      <c r="O15" s="24" t="s">
        <v>229</v>
      </c>
      <c r="P15" s="24" t="s">
        <v>230</v>
      </c>
      <c r="Q15" s="24" t="s">
        <v>119</v>
      </c>
      <c r="R15" s="24">
        <v>39069560</v>
      </c>
      <c r="S15" s="24" t="s">
        <v>231</v>
      </c>
      <c r="T15" s="24"/>
      <c r="U15" s="24"/>
      <c r="V15" s="24"/>
      <c r="W15" s="24"/>
      <c r="X15" s="24"/>
    </row>
    <row r="16" spans="1:24" x14ac:dyDescent="0.2">
      <c r="A16" s="24" t="s">
        <v>232</v>
      </c>
      <c r="B16" s="24" t="s">
        <v>220</v>
      </c>
      <c r="C16" s="24" t="s">
        <v>158</v>
      </c>
      <c r="D16" s="24">
        <v>38147706</v>
      </c>
      <c r="E16" s="24" t="s">
        <v>214</v>
      </c>
      <c r="F16" s="24">
        <v>2</v>
      </c>
      <c r="G16" s="24" t="s">
        <v>88</v>
      </c>
      <c r="H16" s="24" t="s">
        <v>14</v>
      </c>
      <c r="I16" s="24" t="s">
        <v>233</v>
      </c>
      <c r="J16" s="24" t="s">
        <v>234</v>
      </c>
      <c r="K16" s="24" t="s">
        <v>235</v>
      </c>
      <c r="L16" s="24" t="s">
        <v>165</v>
      </c>
      <c r="M16" s="24" t="s">
        <v>209</v>
      </c>
      <c r="N16" s="24">
        <v>36550190</v>
      </c>
      <c r="O16" s="24" t="s">
        <v>236</v>
      </c>
      <c r="P16" s="24" t="s">
        <v>237</v>
      </c>
      <c r="Q16" s="24" t="s">
        <v>166</v>
      </c>
      <c r="R16" s="24">
        <v>41686866</v>
      </c>
      <c r="S16" s="24" t="s">
        <v>238</v>
      </c>
      <c r="T16" s="24"/>
      <c r="U16" s="24"/>
      <c r="V16" s="24"/>
      <c r="W16" s="24"/>
      <c r="X16" s="24"/>
    </row>
    <row r="17" spans="1:24" x14ac:dyDescent="0.2">
      <c r="A17" s="24" t="s">
        <v>239</v>
      </c>
      <c r="B17" s="24" t="s">
        <v>92</v>
      </c>
      <c r="C17" s="24" t="s">
        <v>209</v>
      </c>
      <c r="D17" s="24">
        <v>42343621</v>
      </c>
      <c r="E17" s="24" t="s">
        <v>240</v>
      </c>
      <c r="F17" s="24">
        <v>2</v>
      </c>
      <c r="G17" s="24" t="s">
        <v>88</v>
      </c>
      <c r="H17" s="24" t="s">
        <v>14</v>
      </c>
      <c r="I17" s="24" t="s">
        <v>241</v>
      </c>
      <c r="J17" s="24" t="s">
        <v>242</v>
      </c>
      <c r="K17" s="24" t="s">
        <v>243</v>
      </c>
      <c r="L17" s="24" t="s">
        <v>92</v>
      </c>
      <c r="M17" s="24" t="s">
        <v>194</v>
      </c>
      <c r="N17" s="24">
        <v>38436429</v>
      </c>
      <c r="O17" s="24" t="s">
        <v>244</v>
      </c>
      <c r="P17" s="24" t="s">
        <v>230</v>
      </c>
      <c r="Q17" s="24" t="s">
        <v>245</v>
      </c>
      <c r="R17" s="24">
        <v>31344047</v>
      </c>
      <c r="S17" s="24" t="s">
        <v>246</v>
      </c>
      <c r="T17" s="24"/>
      <c r="U17" s="24"/>
      <c r="V17" s="24"/>
      <c r="W17" s="24"/>
      <c r="X17" s="24"/>
    </row>
    <row r="18" spans="1:24" x14ac:dyDescent="0.2">
      <c r="A18" s="24" t="s">
        <v>247</v>
      </c>
      <c r="B18" s="24" t="s">
        <v>165</v>
      </c>
      <c r="C18" s="24" t="s">
        <v>96</v>
      </c>
      <c r="D18" s="24">
        <v>32011363</v>
      </c>
      <c r="E18" s="24" t="s">
        <v>248</v>
      </c>
      <c r="F18" s="24">
        <v>2</v>
      </c>
      <c r="G18" s="24" t="s">
        <v>88</v>
      </c>
      <c r="H18" s="24" t="s">
        <v>14</v>
      </c>
      <c r="I18" s="24" t="s">
        <v>249</v>
      </c>
      <c r="J18" s="24" t="s">
        <v>250</v>
      </c>
      <c r="K18" s="24" t="s">
        <v>251</v>
      </c>
      <c r="L18" s="24" t="s">
        <v>220</v>
      </c>
      <c r="M18" s="24" t="s">
        <v>129</v>
      </c>
      <c r="N18" s="24">
        <v>39792396</v>
      </c>
      <c r="O18" s="24" t="s">
        <v>252</v>
      </c>
      <c r="P18" s="24" t="s">
        <v>253</v>
      </c>
      <c r="Q18" s="24" t="s">
        <v>213</v>
      </c>
      <c r="R18" s="24">
        <v>34374922</v>
      </c>
      <c r="S18" s="24" t="s">
        <v>254</v>
      </c>
      <c r="T18" s="24"/>
      <c r="U18" s="24"/>
      <c r="V18" s="24"/>
      <c r="W18" s="24"/>
      <c r="X18" s="24"/>
    </row>
    <row r="19" spans="1:24" x14ac:dyDescent="0.2">
      <c r="A19" s="24" t="s">
        <v>255</v>
      </c>
      <c r="B19" s="24" t="s">
        <v>256</v>
      </c>
      <c r="C19" s="24" t="s">
        <v>129</v>
      </c>
      <c r="D19" s="24">
        <v>35033115</v>
      </c>
      <c r="E19" s="24" t="s">
        <v>257</v>
      </c>
      <c r="F19" s="24">
        <v>2</v>
      </c>
      <c r="G19" s="24" t="s">
        <v>88</v>
      </c>
      <c r="H19" s="24" t="s">
        <v>14</v>
      </c>
      <c r="I19" s="24" t="s">
        <v>258</v>
      </c>
      <c r="J19" s="24" t="s">
        <v>259</v>
      </c>
      <c r="K19" s="24" t="s">
        <v>260</v>
      </c>
      <c r="L19" s="24" t="s">
        <v>110</v>
      </c>
      <c r="M19" s="24" t="s">
        <v>146</v>
      </c>
      <c r="N19" s="24">
        <v>31677407</v>
      </c>
      <c r="O19" s="24" t="s">
        <v>261</v>
      </c>
      <c r="P19" s="24" t="s">
        <v>95</v>
      </c>
      <c r="Q19" s="24" t="s">
        <v>245</v>
      </c>
      <c r="R19" s="24">
        <v>34449324</v>
      </c>
      <c r="S19" s="24" t="s">
        <v>262</v>
      </c>
      <c r="T19" s="24"/>
      <c r="U19" s="24"/>
      <c r="V19" s="24"/>
      <c r="W19" s="24"/>
      <c r="X19" s="24"/>
    </row>
    <row r="20" spans="1:24" x14ac:dyDescent="0.2">
      <c r="A20" s="24" t="s">
        <v>263</v>
      </c>
      <c r="B20" s="24" t="s">
        <v>237</v>
      </c>
      <c r="C20" s="24" t="s">
        <v>132</v>
      </c>
      <c r="D20" s="24">
        <v>32646552</v>
      </c>
      <c r="E20" s="24" t="s">
        <v>264</v>
      </c>
      <c r="F20" s="24">
        <v>2</v>
      </c>
      <c r="G20" s="24" t="s">
        <v>88</v>
      </c>
      <c r="H20" s="24" t="s">
        <v>14</v>
      </c>
      <c r="I20" s="24" t="s">
        <v>265</v>
      </c>
      <c r="J20" s="24" t="s">
        <v>266</v>
      </c>
      <c r="K20" s="24" t="s">
        <v>267</v>
      </c>
      <c r="L20" s="24" t="s">
        <v>169</v>
      </c>
      <c r="M20" s="24" t="s">
        <v>268</v>
      </c>
      <c r="N20" s="24">
        <v>39304682</v>
      </c>
      <c r="O20" s="24" t="s">
        <v>269</v>
      </c>
      <c r="P20" s="24" t="s">
        <v>145</v>
      </c>
      <c r="Q20" s="24" t="s">
        <v>158</v>
      </c>
      <c r="R20" s="24">
        <v>34437001</v>
      </c>
      <c r="S20" s="24" t="s">
        <v>270</v>
      </c>
      <c r="T20" s="24"/>
      <c r="U20" s="24"/>
      <c r="V20" s="24"/>
      <c r="W20" s="24"/>
      <c r="X20" s="24"/>
    </row>
    <row r="21" spans="1:24" x14ac:dyDescent="0.2">
      <c r="A21" s="24" t="s">
        <v>271</v>
      </c>
      <c r="B21" s="24" t="s">
        <v>110</v>
      </c>
      <c r="C21" s="24" t="s">
        <v>152</v>
      </c>
      <c r="D21" s="24">
        <v>33533779</v>
      </c>
      <c r="E21" s="24" t="s">
        <v>272</v>
      </c>
      <c r="F21" s="24">
        <v>2</v>
      </c>
      <c r="G21" s="24" t="s">
        <v>88</v>
      </c>
      <c r="H21" s="24" t="s">
        <v>14</v>
      </c>
      <c r="I21" s="24" t="s">
        <v>273</v>
      </c>
      <c r="J21" s="24" t="s">
        <v>274</v>
      </c>
      <c r="K21" s="24" t="s">
        <v>275</v>
      </c>
      <c r="L21" s="24" t="s">
        <v>154</v>
      </c>
      <c r="M21" s="24" t="s">
        <v>276</v>
      </c>
      <c r="N21" s="24">
        <v>45236380</v>
      </c>
      <c r="O21" s="24" t="s">
        <v>277</v>
      </c>
      <c r="P21" s="24" t="s">
        <v>256</v>
      </c>
      <c r="Q21" s="24" t="s">
        <v>166</v>
      </c>
      <c r="R21" s="24">
        <v>43914152</v>
      </c>
      <c r="S21" s="24" t="s">
        <v>278</v>
      </c>
      <c r="T21" s="24" t="s">
        <v>122</v>
      </c>
      <c r="U21" s="24" t="s">
        <v>152</v>
      </c>
      <c r="V21" s="24">
        <v>40688988</v>
      </c>
      <c r="W21" s="24" t="s">
        <v>279</v>
      </c>
      <c r="X21" s="24"/>
    </row>
    <row r="22" spans="1:24" x14ac:dyDescent="0.2">
      <c r="A22" s="24" t="s">
        <v>280</v>
      </c>
      <c r="B22" s="24" t="s">
        <v>105</v>
      </c>
      <c r="C22" s="24" t="s">
        <v>245</v>
      </c>
      <c r="D22" s="24">
        <v>37175395</v>
      </c>
      <c r="E22" s="24" t="s">
        <v>281</v>
      </c>
      <c r="F22" s="24">
        <v>3</v>
      </c>
      <c r="G22" s="24" t="s">
        <v>88</v>
      </c>
      <c r="H22" s="24" t="s">
        <v>17</v>
      </c>
      <c r="I22" s="24" t="s">
        <v>282</v>
      </c>
      <c r="J22" s="24" t="s">
        <v>283</v>
      </c>
      <c r="K22" s="24" t="s">
        <v>284</v>
      </c>
      <c r="L22" s="24" t="s">
        <v>230</v>
      </c>
      <c r="M22" s="24" t="s">
        <v>268</v>
      </c>
      <c r="N22" s="24">
        <v>36194416</v>
      </c>
      <c r="O22" s="24" t="s">
        <v>285</v>
      </c>
      <c r="P22" s="24" t="s">
        <v>220</v>
      </c>
      <c r="Q22" s="24" t="s">
        <v>158</v>
      </c>
      <c r="R22" s="24">
        <v>30701771</v>
      </c>
      <c r="S22" s="24" t="s">
        <v>286</v>
      </c>
      <c r="T22" s="24"/>
      <c r="U22" s="24"/>
      <c r="V22" s="24"/>
      <c r="W22" s="24"/>
      <c r="X22" s="24"/>
    </row>
    <row r="23" spans="1:24" x14ac:dyDescent="0.2">
      <c r="A23" s="24" t="s">
        <v>287</v>
      </c>
      <c r="B23" s="24" t="s">
        <v>230</v>
      </c>
      <c r="C23" s="24" t="s">
        <v>189</v>
      </c>
      <c r="D23" s="24">
        <v>45081452</v>
      </c>
      <c r="E23" s="24" t="s">
        <v>288</v>
      </c>
      <c r="F23" s="24">
        <v>3</v>
      </c>
      <c r="G23" s="24" t="s">
        <v>88</v>
      </c>
      <c r="H23" s="24" t="s">
        <v>17</v>
      </c>
      <c r="I23" s="24" t="s">
        <v>289</v>
      </c>
      <c r="J23" s="24" t="s">
        <v>290</v>
      </c>
      <c r="K23" s="24" t="s">
        <v>291</v>
      </c>
      <c r="L23" s="24" t="s">
        <v>122</v>
      </c>
      <c r="M23" s="24" t="s">
        <v>224</v>
      </c>
      <c r="N23" s="24">
        <v>44833318</v>
      </c>
      <c r="O23" s="24" t="s">
        <v>292</v>
      </c>
      <c r="P23" s="24" t="s">
        <v>116</v>
      </c>
      <c r="Q23" s="24" t="s">
        <v>213</v>
      </c>
      <c r="R23" s="24">
        <v>33971793</v>
      </c>
      <c r="S23" s="24" t="s">
        <v>293</v>
      </c>
      <c r="T23" s="24"/>
      <c r="U23" s="24"/>
      <c r="V23" s="24"/>
      <c r="W23" s="24"/>
      <c r="X23" s="24"/>
    </row>
    <row r="24" spans="1:24" x14ac:dyDescent="0.2">
      <c r="A24" s="24" t="s">
        <v>294</v>
      </c>
      <c r="B24" s="24" t="s">
        <v>116</v>
      </c>
      <c r="C24" s="24" t="s">
        <v>136</v>
      </c>
      <c r="D24" s="24">
        <v>35573147</v>
      </c>
      <c r="E24" s="24" t="s">
        <v>295</v>
      </c>
      <c r="F24" s="24">
        <v>3</v>
      </c>
      <c r="G24" s="24" t="s">
        <v>88</v>
      </c>
      <c r="H24" s="24" t="s">
        <v>17</v>
      </c>
      <c r="I24" s="24" t="s">
        <v>296</v>
      </c>
      <c r="J24" s="24" t="s">
        <v>297</v>
      </c>
      <c r="K24" s="24" t="s">
        <v>298</v>
      </c>
      <c r="L24" s="24" t="s">
        <v>163</v>
      </c>
      <c r="M24" s="24" t="s">
        <v>136</v>
      </c>
      <c r="N24" s="24">
        <v>31813543</v>
      </c>
      <c r="O24" s="24" t="s">
        <v>299</v>
      </c>
      <c r="P24" s="24" t="s">
        <v>179</v>
      </c>
      <c r="Q24" s="24" t="s">
        <v>300</v>
      </c>
      <c r="R24" s="24">
        <v>33731818</v>
      </c>
      <c r="S24" s="24" t="s">
        <v>301</v>
      </c>
      <c r="T24" s="24"/>
      <c r="U24" s="24"/>
      <c r="V24" s="24"/>
      <c r="W24" s="24"/>
      <c r="X24" s="24"/>
    </row>
    <row r="25" spans="1:24" x14ac:dyDescent="0.2">
      <c r="A25" s="24" t="s">
        <v>302</v>
      </c>
      <c r="B25" s="24" t="s">
        <v>135</v>
      </c>
      <c r="C25" s="24" t="s">
        <v>189</v>
      </c>
      <c r="D25" s="24">
        <v>33740036</v>
      </c>
      <c r="E25" s="24" t="s">
        <v>303</v>
      </c>
      <c r="F25" s="24">
        <v>3</v>
      </c>
      <c r="G25" s="24" t="s">
        <v>88</v>
      </c>
      <c r="H25" s="24" t="s">
        <v>17</v>
      </c>
      <c r="I25" s="24" t="s">
        <v>304</v>
      </c>
      <c r="J25" s="24" t="s">
        <v>305</v>
      </c>
      <c r="K25" s="24" t="s">
        <v>306</v>
      </c>
      <c r="L25" s="24" t="s">
        <v>179</v>
      </c>
      <c r="M25" s="24" t="s">
        <v>218</v>
      </c>
      <c r="N25" s="24">
        <v>42974268</v>
      </c>
      <c r="O25" s="24" t="s">
        <v>307</v>
      </c>
      <c r="P25" s="24" t="s">
        <v>256</v>
      </c>
      <c r="Q25" s="24" t="s">
        <v>245</v>
      </c>
      <c r="R25" s="24">
        <v>36705490</v>
      </c>
      <c r="S25" s="24" t="s">
        <v>308</v>
      </c>
      <c r="T25" s="24"/>
      <c r="U25" s="24"/>
      <c r="V25" s="24"/>
      <c r="W25" s="24"/>
      <c r="X25" s="24"/>
    </row>
    <row r="26" spans="1:24" x14ac:dyDescent="0.2">
      <c r="A26" s="24" t="s">
        <v>309</v>
      </c>
      <c r="B26" s="24" t="s">
        <v>310</v>
      </c>
      <c r="C26" s="24" t="s">
        <v>152</v>
      </c>
      <c r="D26" s="24">
        <v>39740679</v>
      </c>
      <c r="E26" s="24" t="s">
        <v>311</v>
      </c>
      <c r="F26" s="24">
        <v>3</v>
      </c>
      <c r="G26" s="24" t="s">
        <v>88</v>
      </c>
      <c r="H26" s="24" t="s">
        <v>17</v>
      </c>
      <c r="I26" s="24" t="s">
        <v>312</v>
      </c>
      <c r="J26" s="24" t="s">
        <v>313</v>
      </c>
      <c r="K26" s="24" t="s">
        <v>314</v>
      </c>
      <c r="L26" s="24" t="s">
        <v>85</v>
      </c>
      <c r="M26" s="24" t="s">
        <v>141</v>
      </c>
      <c r="N26" s="24">
        <v>35262632</v>
      </c>
      <c r="O26" s="24" t="s">
        <v>315</v>
      </c>
      <c r="P26" s="24" t="s">
        <v>174</v>
      </c>
      <c r="Q26" s="24" t="s">
        <v>166</v>
      </c>
      <c r="R26" s="24">
        <v>45091185</v>
      </c>
      <c r="S26" s="24" t="s">
        <v>316</v>
      </c>
      <c r="T26" s="24"/>
      <c r="U26" s="24"/>
      <c r="V26" s="24"/>
      <c r="W26" s="24"/>
      <c r="X26" s="24"/>
    </row>
    <row r="27" spans="1:24" x14ac:dyDescent="0.2">
      <c r="A27" s="24" t="s">
        <v>317</v>
      </c>
      <c r="B27" s="24" t="s">
        <v>157</v>
      </c>
      <c r="C27" s="24" t="s">
        <v>86</v>
      </c>
      <c r="D27" s="24">
        <v>45528574</v>
      </c>
      <c r="E27" s="24" t="s">
        <v>318</v>
      </c>
      <c r="F27" s="24">
        <v>3</v>
      </c>
      <c r="G27" s="24" t="s">
        <v>88</v>
      </c>
      <c r="H27" s="24" t="s">
        <v>17</v>
      </c>
      <c r="I27" s="24" t="s">
        <v>319</v>
      </c>
      <c r="J27" s="24" t="s">
        <v>320</v>
      </c>
      <c r="K27" s="24" t="s">
        <v>321</v>
      </c>
      <c r="L27" s="24" t="s">
        <v>322</v>
      </c>
      <c r="M27" s="24" t="s">
        <v>129</v>
      </c>
      <c r="N27" s="24">
        <v>45447971</v>
      </c>
      <c r="O27" s="24" t="s">
        <v>323</v>
      </c>
      <c r="P27" s="24" t="s">
        <v>169</v>
      </c>
      <c r="Q27" s="24" t="s">
        <v>189</v>
      </c>
      <c r="R27" s="24">
        <v>32090865</v>
      </c>
      <c r="S27" s="24" t="s">
        <v>324</v>
      </c>
      <c r="T27" s="24"/>
      <c r="U27" s="24"/>
      <c r="V27" s="24"/>
      <c r="W27" s="24"/>
      <c r="X27" s="24"/>
    </row>
    <row r="28" spans="1:24" x14ac:dyDescent="0.2">
      <c r="A28" s="24" t="s">
        <v>325</v>
      </c>
      <c r="B28" s="24" t="s">
        <v>105</v>
      </c>
      <c r="C28" s="24" t="s">
        <v>93</v>
      </c>
      <c r="D28" s="24">
        <v>34960271</v>
      </c>
      <c r="E28" s="24" t="s">
        <v>326</v>
      </c>
      <c r="F28" s="24">
        <v>3</v>
      </c>
      <c r="G28" s="24" t="s">
        <v>88</v>
      </c>
      <c r="H28" s="24" t="s">
        <v>17</v>
      </c>
      <c r="I28" s="24" t="s">
        <v>327</v>
      </c>
      <c r="J28" s="24" t="s">
        <v>328</v>
      </c>
      <c r="K28" s="24" t="s">
        <v>329</v>
      </c>
      <c r="L28" s="24" t="s">
        <v>110</v>
      </c>
      <c r="M28" s="24" t="s">
        <v>146</v>
      </c>
      <c r="N28" s="24">
        <v>35049101</v>
      </c>
      <c r="O28" s="24" t="s">
        <v>330</v>
      </c>
      <c r="P28" s="24" t="s">
        <v>118</v>
      </c>
      <c r="Q28" s="24" t="s">
        <v>86</v>
      </c>
      <c r="R28" s="24">
        <v>35098175</v>
      </c>
      <c r="S28" s="24" t="s">
        <v>331</v>
      </c>
      <c r="T28" s="24"/>
      <c r="U28" s="24"/>
      <c r="V28" s="24"/>
      <c r="W28" s="24"/>
      <c r="X28" s="24"/>
    </row>
    <row r="29" spans="1:24" x14ac:dyDescent="0.2">
      <c r="A29" s="24" t="s">
        <v>332</v>
      </c>
      <c r="B29" s="24" t="s">
        <v>253</v>
      </c>
      <c r="C29" s="24" t="s">
        <v>119</v>
      </c>
      <c r="D29" s="24">
        <v>37801207</v>
      </c>
      <c r="E29" s="24" t="s">
        <v>333</v>
      </c>
      <c r="F29" s="24">
        <v>3</v>
      </c>
      <c r="G29" s="24" t="s">
        <v>88</v>
      </c>
      <c r="H29" s="24" t="s">
        <v>17</v>
      </c>
      <c r="I29" s="24" t="s">
        <v>334</v>
      </c>
      <c r="J29" s="24" t="s">
        <v>335</v>
      </c>
      <c r="K29" s="24" t="s">
        <v>336</v>
      </c>
      <c r="L29" s="24" t="s">
        <v>163</v>
      </c>
      <c r="M29" s="24" t="s">
        <v>276</v>
      </c>
      <c r="N29" s="24">
        <v>43355079</v>
      </c>
      <c r="O29" s="24" t="s">
        <v>337</v>
      </c>
      <c r="P29" s="24" t="s">
        <v>237</v>
      </c>
      <c r="Q29" s="24" t="s">
        <v>245</v>
      </c>
      <c r="R29" s="24">
        <v>41137619</v>
      </c>
      <c r="S29" s="24" t="s">
        <v>338</v>
      </c>
      <c r="T29" s="24"/>
      <c r="U29" s="24"/>
      <c r="V29" s="24"/>
      <c r="W29" s="24"/>
      <c r="X29" s="24"/>
    </row>
    <row r="30" spans="1:24" x14ac:dyDescent="0.2">
      <c r="A30" s="24" t="s">
        <v>339</v>
      </c>
      <c r="B30" s="24" t="s">
        <v>237</v>
      </c>
      <c r="C30" s="24" t="s">
        <v>119</v>
      </c>
      <c r="D30" s="24">
        <v>33768844</v>
      </c>
      <c r="E30" s="24" t="s">
        <v>340</v>
      </c>
      <c r="F30" s="24">
        <v>3</v>
      </c>
      <c r="G30" s="24" t="s">
        <v>88</v>
      </c>
      <c r="H30" s="24" t="s">
        <v>17</v>
      </c>
      <c r="I30" s="24" t="s">
        <v>341</v>
      </c>
      <c r="J30" s="24" t="s">
        <v>342</v>
      </c>
      <c r="K30" s="24" t="s">
        <v>343</v>
      </c>
      <c r="L30" s="24" t="s">
        <v>344</v>
      </c>
      <c r="M30" s="24" t="s">
        <v>146</v>
      </c>
      <c r="N30" s="24">
        <v>44256232</v>
      </c>
      <c r="O30" s="24" t="s">
        <v>345</v>
      </c>
      <c r="P30" s="24" t="s">
        <v>220</v>
      </c>
      <c r="Q30" s="24" t="s">
        <v>213</v>
      </c>
      <c r="R30" s="24">
        <v>40565709</v>
      </c>
      <c r="S30" s="24" t="s">
        <v>346</v>
      </c>
      <c r="T30" s="24"/>
      <c r="U30" s="24"/>
      <c r="V30" s="24"/>
      <c r="W30" s="24"/>
      <c r="X30" s="24"/>
    </row>
    <row r="31" spans="1:24" x14ac:dyDescent="0.2">
      <c r="A31" s="24" t="s">
        <v>347</v>
      </c>
      <c r="B31" s="24" t="s">
        <v>135</v>
      </c>
      <c r="C31" s="24" t="s">
        <v>93</v>
      </c>
      <c r="D31" s="24">
        <v>32475836</v>
      </c>
      <c r="E31" s="24" t="s">
        <v>348</v>
      </c>
      <c r="F31" s="24">
        <v>3</v>
      </c>
      <c r="G31" s="24" t="s">
        <v>88</v>
      </c>
      <c r="H31" s="24" t="s">
        <v>17</v>
      </c>
      <c r="I31" s="24" t="s">
        <v>349</v>
      </c>
      <c r="J31" s="24" t="s">
        <v>350</v>
      </c>
      <c r="K31" s="24" t="s">
        <v>351</v>
      </c>
      <c r="L31" s="24" t="s">
        <v>310</v>
      </c>
      <c r="M31" s="24" t="s">
        <v>141</v>
      </c>
      <c r="N31" s="24">
        <v>41675462</v>
      </c>
      <c r="O31" s="24" t="s">
        <v>352</v>
      </c>
      <c r="P31" s="24" t="s">
        <v>230</v>
      </c>
      <c r="Q31" s="24" t="s">
        <v>245</v>
      </c>
      <c r="R31" s="24">
        <v>34180853</v>
      </c>
      <c r="S31" s="24" t="s">
        <v>353</v>
      </c>
      <c r="T31" s="24" t="s">
        <v>128</v>
      </c>
      <c r="U31" s="24" t="s">
        <v>166</v>
      </c>
      <c r="V31" s="24">
        <v>38910914</v>
      </c>
      <c r="W31" s="24" t="s">
        <v>354</v>
      </c>
      <c r="X31" s="24"/>
    </row>
  </sheetData>
  <dataValidations count="2">
    <dataValidation type="list" allowBlank="1" sqref="F2:F231" xr:uid="{00000000-0002-0000-0200-000000000000}">
      <formula1>"1,2,3,4,5,6"</formula1>
      <formula2>0</formula2>
    </dataValidation>
    <dataValidation type="list" allowBlank="1" sqref="H2:H231" xr:uid="{00000000-0002-0000-0200-000001000000}">
      <formula1>"Mañana,Tarde,Noche"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topLeftCell="D1" zoomScaleNormal="100" workbookViewId="0">
      <pane ySplit="1" topLeftCell="A2" activePane="bottomLeft" state="frozen"/>
      <selection pane="bottomLeft" activeCell="F18" sqref="F18"/>
    </sheetView>
  </sheetViews>
  <sheetFormatPr baseColWidth="10" defaultColWidth="40.28515625" defaultRowHeight="12.75" x14ac:dyDescent="0.2"/>
  <cols>
    <col min="1" max="16384" width="40.28515625" style="20"/>
  </cols>
  <sheetData>
    <row r="1" spans="1:8" x14ac:dyDescent="0.2">
      <c r="A1" s="19" t="s">
        <v>355</v>
      </c>
      <c r="B1" s="19" t="s">
        <v>62</v>
      </c>
      <c r="C1" s="19" t="s">
        <v>63</v>
      </c>
      <c r="D1" s="19" t="s">
        <v>64</v>
      </c>
      <c r="E1" s="19" t="s">
        <v>356</v>
      </c>
      <c r="F1" s="19" t="s">
        <v>357</v>
      </c>
      <c r="G1" s="19" t="s">
        <v>358</v>
      </c>
      <c r="H1" s="19" t="s">
        <v>359</v>
      </c>
    </row>
    <row r="2" spans="1:8" x14ac:dyDescent="0.2">
      <c r="A2" s="21" t="s">
        <v>360</v>
      </c>
      <c r="B2" s="22" t="s">
        <v>361</v>
      </c>
      <c r="C2" s="22" t="s">
        <v>362</v>
      </c>
      <c r="D2" s="21">
        <v>45939019</v>
      </c>
      <c r="E2" s="22" t="s">
        <v>363</v>
      </c>
      <c r="F2" s="22" t="s">
        <v>364</v>
      </c>
      <c r="G2" s="22" t="s">
        <v>35</v>
      </c>
      <c r="H2" s="22" t="s">
        <v>365</v>
      </c>
    </row>
    <row r="3" spans="1:8" x14ac:dyDescent="0.2">
      <c r="A3" s="21" t="s">
        <v>366</v>
      </c>
      <c r="B3" s="22" t="s">
        <v>322</v>
      </c>
      <c r="C3" s="22" t="s">
        <v>367</v>
      </c>
      <c r="D3" s="21">
        <v>37159521</v>
      </c>
      <c r="E3" s="22" t="s">
        <v>368</v>
      </c>
      <c r="F3" s="22" t="s">
        <v>369</v>
      </c>
      <c r="G3" s="22" t="s">
        <v>36</v>
      </c>
      <c r="H3" s="22" t="s">
        <v>365</v>
      </c>
    </row>
    <row r="4" spans="1:8" x14ac:dyDescent="0.2">
      <c r="A4" s="21" t="s">
        <v>370</v>
      </c>
      <c r="B4" s="22" t="s">
        <v>230</v>
      </c>
      <c r="C4" s="22" t="s">
        <v>371</v>
      </c>
      <c r="D4" s="21">
        <v>45052654</v>
      </c>
      <c r="E4" s="22" t="s">
        <v>372</v>
      </c>
      <c r="F4" s="22" t="s">
        <v>373</v>
      </c>
      <c r="G4" s="22" t="s">
        <v>33</v>
      </c>
      <c r="H4" s="22" t="s">
        <v>365</v>
      </c>
    </row>
    <row r="5" spans="1:8" x14ac:dyDescent="0.2">
      <c r="A5" s="21" t="s">
        <v>374</v>
      </c>
      <c r="B5" s="22" t="s">
        <v>95</v>
      </c>
      <c r="C5" s="22" t="s">
        <v>375</v>
      </c>
      <c r="D5" s="21">
        <v>37550917</v>
      </c>
      <c r="E5" s="22" t="s">
        <v>376</v>
      </c>
      <c r="F5" s="22" t="s">
        <v>377</v>
      </c>
      <c r="G5" s="22" t="s">
        <v>32</v>
      </c>
      <c r="H5" s="22" t="s">
        <v>365</v>
      </c>
    </row>
    <row r="6" spans="1:8" x14ac:dyDescent="0.2">
      <c r="A6" s="21" t="s">
        <v>378</v>
      </c>
      <c r="B6" s="22" t="s">
        <v>174</v>
      </c>
      <c r="C6" s="22" t="s">
        <v>379</v>
      </c>
      <c r="D6" s="21">
        <v>44090561</v>
      </c>
      <c r="E6" s="22" t="s">
        <v>380</v>
      </c>
      <c r="F6" s="22" t="s">
        <v>381</v>
      </c>
      <c r="G6" s="22" t="s">
        <v>24</v>
      </c>
      <c r="H6" s="22" t="s">
        <v>382</v>
      </c>
    </row>
    <row r="7" spans="1:8" x14ac:dyDescent="0.2">
      <c r="A7" s="21" t="s">
        <v>383</v>
      </c>
      <c r="B7" s="22" t="s">
        <v>310</v>
      </c>
      <c r="C7" s="22" t="s">
        <v>384</v>
      </c>
      <c r="D7" s="21">
        <v>38130188</v>
      </c>
      <c r="E7" s="22" t="s">
        <v>385</v>
      </c>
      <c r="F7" s="22" t="s">
        <v>386</v>
      </c>
      <c r="G7" s="22" t="s">
        <v>34</v>
      </c>
      <c r="H7" s="22" t="s">
        <v>365</v>
      </c>
    </row>
    <row r="8" spans="1:8" x14ac:dyDescent="0.2">
      <c r="A8" s="21" t="s">
        <v>387</v>
      </c>
      <c r="B8" s="22" t="s">
        <v>135</v>
      </c>
      <c r="C8" s="22" t="s">
        <v>388</v>
      </c>
      <c r="D8" s="21">
        <v>37379837</v>
      </c>
      <c r="E8" s="22" t="s">
        <v>389</v>
      </c>
      <c r="F8" s="22" t="s">
        <v>390</v>
      </c>
      <c r="G8" s="22" t="s">
        <v>28</v>
      </c>
      <c r="H8" s="22" t="s">
        <v>365</v>
      </c>
    </row>
    <row r="9" spans="1:8" x14ac:dyDescent="0.2">
      <c r="A9" s="21" t="s">
        <v>391</v>
      </c>
      <c r="B9" s="22" t="s">
        <v>131</v>
      </c>
      <c r="C9" s="22" t="s">
        <v>392</v>
      </c>
      <c r="D9" s="21">
        <v>33934149</v>
      </c>
      <c r="E9" s="22" t="s">
        <v>393</v>
      </c>
      <c r="F9" s="22" t="s">
        <v>394</v>
      </c>
      <c r="G9" s="22" t="s">
        <v>26</v>
      </c>
      <c r="H9" s="22" t="s">
        <v>395</v>
      </c>
    </row>
    <row r="10" spans="1:8" x14ac:dyDescent="0.2">
      <c r="A10" s="21" t="s">
        <v>396</v>
      </c>
      <c r="B10" s="22" t="s">
        <v>397</v>
      </c>
      <c r="C10" s="22" t="s">
        <v>398</v>
      </c>
      <c r="D10" s="21">
        <v>35363836</v>
      </c>
      <c r="E10" s="22" t="s">
        <v>399</v>
      </c>
      <c r="F10" s="22" t="s">
        <v>400</v>
      </c>
      <c r="G10" s="22" t="s">
        <v>31</v>
      </c>
      <c r="H10" s="22" t="s">
        <v>401</v>
      </c>
    </row>
    <row r="11" spans="1:8" x14ac:dyDescent="0.2">
      <c r="A11" s="21" t="s">
        <v>402</v>
      </c>
      <c r="B11" s="22" t="s">
        <v>220</v>
      </c>
      <c r="C11" s="22" t="s">
        <v>403</v>
      </c>
      <c r="D11" s="21">
        <v>32321531</v>
      </c>
      <c r="E11" s="22" t="s">
        <v>404</v>
      </c>
      <c r="F11" s="22" t="s">
        <v>405</v>
      </c>
      <c r="G11" s="22" t="s">
        <v>29</v>
      </c>
      <c r="H11" s="22" t="s">
        <v>401</v>
      </c>
    </row>
    <row r="12" spans="1:8" x14ac:dyDescent="0.2">
      <c r="A12" s="21" t="s">
        <v>406</v>
      </c>
      <c r="B12" s="22" t="s">
        <v>128</v>
      </c>
      <c r="C12" s="22" t="s">
        <v>407</v>
      </c>
      <c r="D12" s="21">
        <v>36426265</v>
      </c>
      <c r="E12" s="22" t="s">
        <v>408</v>
      </c>
      <c r="F12" s="22" t="s">
        <v>409</v>
      </c>
      <c r="G12" s="22" t="s">
        <v>37</v>
      </c>
      <c r="H12" s="22" t="s">
        <v>410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zoomScaleNormal="100" workbookViewId="0">
      <pane ySplit="1" topLeftCell="A2" activePane="bottomLeft" state="frozen"/>
      <selection pane="bottomLeft" activeCell="J7" sqref="J7"/>
    </sheetView>
  </sheetViews>
  <sheetFormatPr baseColWidth="10" defaultColWidth="8.7109375" defaultRowHeight="12.75" x14ac:dyDescent="0.2"/>
  <cols>
    <col min="1" max="1" width="9.42578125" style="20" bestFit="1" customWidth="1"/>
    <col min="2" max="2" width="13.85546875" style="20" bestFit="1" customWidth="1"/>
    <col min="3" max="3" width="11.7109375" style="20" bestFit="1" customWidth="1"/>
    <col min="4" max="4" width="25.7109375" style="20" bestFit="1" customWidth="1"/>
    <col min="5" max="5" width="15.5703125" style="20" bestFit="1" customWidth="1"/>
    <col min="6" max="6" width="25" style="20" bestFit="1" customWidth="1"/>
    <col min="7" max="7" width="24.42578125" style="20" bestFit="1" customWidth="1"/>
    <col min="8" max="16384" width="8.7109375" style="20"/>
  </cols>
  <sheetData>
    <row r="1" spans="1:7" ht="25.5" x14ac:dyDescent="0.2">
      <c r="A1" s="19" t="s">
        <v>66</v>
      </c>
      <c r="B1" s="19" t="s">
        <v>67</v>
      </c>
      <c r="C1" s="19" t="s">
        <v>9</v>
      </c>
      <c r="D1" s="19" t="s">
        <v>20</v>
      </c>
      <c r="E1" s="19" t="s">
        <v>355</v>
      </c>
      <c r="F1" s="19" t="s">
        <v>411</v>
      </c>
      <c r="G1" s="19" t="s">
        <v>412</v>
      </c>
    </row>
    <row r="2" spans="1:7" x14ac:dyDescent="0.2">
      <c r="A2" s="21">
        <v>1</v>
      </c>
      <c r="B2" s="21" t="s">
        <v>88</v>
      </c>
      <c r="C2" s="21" t="s">
        <v>14</v>
      </c>
      <c r="D2" s="21" t="s">
        <v>35</v>
      </c>
      <c r="E2" s="21" t="s">
        <v>360</v>
      </c>
      <c r="F2" s="26" t="str">
        <f>IFERROR(INDEX(Profesores!$B$2:$B$12,MATCH($E2,Profesores!$A$2:$A$12,0))&amp;" "&amp;INDEX(Profesores!$C$2:$C$12,MATCH($E2,Profesores!$A$2:$A$12,0)),"")</f>
        <v>Gómez Laura</v>
      </c>
      <c r="G2" s="26">
        <f>COUNTIFS(Alumnos!$F$2:$F$31,$A2,Alumnos!$G$2:$G$31,$B2)</f>
        <v>10</v>
      </c>
    </row>
    <row r="3" spans="1:7" x14ac:dyDescent="0.2">
      <c r="A3" s="21">
        <v>1</v>
      </c>
      <c r="B3" s="21" t="s">
        <v>88</v>
      </c>
      <c r="C3" s="21" t="s">
        <v>14</v>
      </c>
      <c r="D3" s="21" t="s">
        <v>36</v>
      </c>
      <c r="E3" s="21" t="s">
        <v>366</v>
      </c>
      <c r="F3" s="26" t="str">
        <f>IFERROR(INDEX(Profesores!$B$2:$B$12,MATCH($E3,Profesores!$A$2:$A$12,0))&amp;" "&amp;INDEX(Profesores!$C$2:$C$12,MATCH($E3,Profesores!$A$2:$A$12,0)),"")</f>
        <v>Fernández Marcelo</v>
      </c>
      <c r="G3" s="26">
        <f>COUNTIFS(Alumnos!$F$2:$F$31,$A3,Alumnos!$G$2:$G$31,$B3)</f>
        <v>10</v>
      </c>
    </row>
    <row r="4" spans="1:7" x14ac:dyDescent="0.2">
      <c r="A4" s="21">
        <v>1</v>
      </c>
      <c r="B4" s="21" t="s">
        <v>88</v>
      </c>
      <c r="C4" s="21" t="s">
        <v>14</v>
      </c>
      <c r="D4" s="21" t="s">
        <v>33</v>
      </c>
      <c r="E4" s="21" t="s">
        <v>370</v>
      </c>
      <c r="F4" s="26" t="str">
        <f>IFERROR(INDEX(Profesores!$B$2:$B$12,MATCH($E4,Profesores!$A$2:$A$12,0))&amp;" "&amp;INDEX(Profesores!$C$2:$C$12,MATCH($E4,Profesores!$A$2:$A$12,0)),"")</f>
        <v>Rodríguez Ana</v>
      </c>
      <c r="G4" s="26">
        <f>COUNTIFS(Alumnos!$F$2:$F$31,$A4,Alumnos!$G$2:$G$31,$B4)</f>
        <v>10</v>
      </c>
    </row>
    <row r="5" spans="1:7" x14ac:dyDescent="0.2">
      <c r="A5" s="21">
        <v>1</v>
      </c>
      <c r="B5" s="21" t="s">
        <v>88</v>
      </c>
      <c r="C5" s="21" t="s">
        <v>14</v>
      </c>
      <c r="D5" s="21" t="s">
        <v>32</v>
      </c>
      <c r="E5" s="21" t="s">
        <v>374</v>
      </c>
      <c r="F5" s="26" t="str">
        <f>IFERROR(INDEX(Profesores!$B$2:$B$12,MATCH($E5,Profesores!$A$2:$A$12,0))&amp;" "&amp;INDEX(Profesores!$C$2:$C$12,MATCH($E5,Profesores!$A$2:$A$12,0)),"")</f>
        <v>Pérez Diego</v>
      </c>
      <c r="G5" s="26">
        <f>COUNTIFS(Alumnos!$F$2:$F$31,$A5,Alumnos!$G$2:$G$31,$B5)</f>
        <v>10</v>
      </c>
    </row>
    <row r="6" spans="1:7" x14ac:dyDescent="0.2">
      <c r="A6" s="21">
        <v>1</v>
      </c>
      <c r="B6" s="21" t="s">
        <v>88</v>
      </c>
      <c r="C6" s="21" t="s">
        <v>14</v>
      </c>
      <c r="D6" s="21" t="s">
        <v>24</v>
      </c>
      <c r="E6" s="21" t="s">
        <v>378</v>
      </c>
      <c r="F6" s="26" t="str">
        <f>IFERROR(INDEX(Profesores!$B$2:$B$12,MATCH($E6,Profesores!$A$2:$A$12,0))&amp;" "&amp;INDEX(Profesores!$C$2:$C$12,MATCH($E6,Profesores!$A$2:$A$12,0)),"")</f>
        <v>López Carla</v>
      </c>
      <c r="G6" s="26">
        <f>COUNTIFS(Alumnos!$F$2:$F$31,$A6,Alumnos!$G$2:$G$31,$B6)</f>
        <v>10</v>
      </c>
    </row>
    <row r="7" spans="1:7" x14ac:dyDescent="0.2">
      <c r="A7" s="21">
        <v>1</v>
      </c>
      <c r="B7" s="21" t="s">
        <v>88</v>
      </c>
      <c r="C7" s="21" t="s">
        <v>14</v>
      </c>
      <c r="D7" s="21" t="s">
        <v>34</v>
      </c>
      <c r="E7" s="21" t="s">
        <v>383</v>
      </c>
      <c r="F7" s="26" t="str">
        <f>IFERROR(INDEX(Profesores!$B$2:$B$12,MATCH($E7,Profesores!$A$2:$A$12,0))&amp;" "&amp;INDEX(Profesores!$C$2:$C$12,MATCH($E7,Profesores!$A$2:$A$12,0)),"")</f>
        <v>Martínez Julián</v>
      </c>
      <c r="G7" s="26">
        <f>COUNTIFS(Alumnos!$F$2:$F$31,$A7,Alumnos!$G$2:$G$31,$B7)</f>
        <v>10</v>
      </c>
    </row>
    <row r="8" spans="1:7" x14ac:dyDescent="0.2">
      <c r="A8" s="21">
        <v>1</v>
      </c>
      <c r="B8" s="21" t="s">
        <v>88</v>
      </c>
      <c r="C8" s="21" t="s">
        <v>14</v>
      </c>
      <c r="D8" s="21" t="s">
        <v>28</v>
      </c>
      <c r="E8" s="21" t="s">
        <v>387</v>
      </c>
      <c r="F8" s="26" t="str">
        <f>IFERROR(INDEX(Profesores!$B$2:$B$12,MATCH($E8,Profesores!$A$2:$A$12,0))&amp;" "&amp;INDEX(Profesores!$C$2:$C$12,MATCH($E8,Profesores!$A$2:$A$12,0)),"")</f>
        <v>Sánchez Pablo</v>
      </c>
      <c r="G8" s="26">
        <f>COUNTIFS(Alumnos!$F$2:$F$31,$A8,Alumnos!$G$2:$G$31,$B8)</f>
        <v>10</v>
      </c>
    </row>
    <row r="9" spans="1:7" x14ac:dyDescent="0.2">
      <c r="A9" s="21">
        <v>1</v>
      </c>
      <c r="B9" s="21" t="s">
        <v>88</v>
      </c>
      <c r="C9" s="21" t="s">
        <v>14</v>
      </c>
      <c r="D9" s="21" t="s">
        <v>26</v>
      </c>
      <c r="E9" s="21" t="s">
        <v>391</v>
      </c>
      <c r="F9" s="26" t="str">
        <f>IFERROR(INDEX(Profesores!$B$2:$B$12,MATCH($E9,Profesores!$A$2:$A$12,0))&amp;" "&amp;INDEX(Profesores!$C$2:$C$12,MATCH($E9,Profesores!$A$2:$A$12,0)),"")</f>
        <v>Torres Marina</v>
      </c>
      <c r="G9" s="26">
        <f>COUNTIFS(Alumnos!$F$2:$F$31,$A9,Alumnos!$G$2:$G$31,$B9)</f>
        <v>10</v>
      </c>
    </row>
    <row r="10" spans="1:7" x14ac:dyDescent="0.2">
      <c r="A10" s="21">
        <v>2</v>
      </c>
      <c r="B10" s="21" t="s">
        <v>88</v>
      </c>
      <c r="C10" s="21" t="s">
        <v>14</v>
      </c>
      <c r="D10" s="21" t="s">
        <v>35</v>
      </c>
      <c r="E10" s="21" t="s">
        <v>360</v>
      </c>
      <c r="F10" s="26" t="str">
        <f>IFERROR(INDEX(Profesores!$B$2:$B$12,MATCH($E10,Profesores!$A$2:$A$12,0))&amp;" "&amp;INDEX(Profesores!$C$2:$C$12,MATCH($E10,Profesores!$A$2:$A$12,0)),"")</f>
        <v>Gómez Laura</v>
      </c>
      <c r="G10" s="26">
        <f>COUNTIFS(Alumnos!$F$2:$F$31,$A10,Alumnos!$G$2:$G$31,$B10)</f>
        <v>10</v>
      </c>
    </row>
    <row r="11" spans="1:7" x14ac:dyDescent="0.2">
      <c r="A11" s="21">
        <v>2</v>
      </c>
      <c r="B11" s="21" t="s">
        <v>88</v>
      </c>
      <c r="C11" s="21" t="s">
        <v>14</v>
      </c>
      <c r="D11" s="21" t="s">
        <v>36</v>
      </c>
      <c r="E11" s="21" t="s">
        <v>366</v>
      </c>
      <c r="F11" s="26" t="str">
        <f>IFERROR(INDEX(Profesores!$B$2:$B$12,MATCH($E11,Profesores!$A$2:$A$12,0))&amp;" "&amp;INDEX(Profesores!$C$2:$C$12,MATCH($E11,Profesores!$A$2:$A$12,0)),"")</f>
        <v>Fernández Marcelo</v>
      </c>
      <c r="G11" s="26">
        <f>COUNTIFS(Alumnos!$F$2:$F$31,$A11,Alumnos!$G$2:$G$31,$B11)</f>
        <v>10</v>
      </c>
    </row>
    <row r="12" spans="1:7" x14ac:dyDescent="0.2">
      <c r="A12" s="21">
        <v>2</v>
      </c>
      <c r="B12" s="21" t="s">
        <v>88</v>
      </c>
      <c r="C12" s="21" t="s">
        <v>14</v>
      </c>
      <c r="D12" s="21" t="s">
        <v>33</v>
      </c>
      <c r="E12" s="21" t="s">
        <v>370</v>
      </c>
      <c r="F12" s="26" t="str">
        <f>IFERROR(INDEX(Profesores!$B$2:$B$12,MATCH($E12,Profesores!$A$2:$A$12,0))&amp;" "&amp;INDEX(Profesores!$C$2:$C$12,MATCH($E12,Profesores!$A$2:$A$12,0)),"")</f>
        <v>Rodríguez Ana</v>
      </c>
      <c r="G12" s="26">
        <f>COUNTIFS(Alumnos!$F$2:$F$31,$A12,Alumnos!$G$2:$G$31,$B12)</f>
        <v>10</v>
      </c>
    </row>
    <row r="13" spans="1:7" x14ac:dyDescent="0.2">
      <c r="A13" s="21">
        <v>2</v>
      </c>
      <c r="B13" s="21" t="s">
        <v>88</v>
      </c>
      <c r="C13" s="21" t="s">
        <v>14</v>
      </c>
      <c r="D13" s="21" t="s">
        <v>32</v>
      </c>
      <c r="E13" s="21" t="s">
        <v>374</v>
      </c>
      <c r="F13" s="26" t="str">
        <f>IFERROR(INDEX(Profesores!$B$2:$B$12,MATCH($E13,Profesores!$A$2:$A$12,0))&amp;" "&amp;INDEX(Profesores!$C$2:$C$12,MATCH($E13,Profesores!$A$2:$A$12,0)),"")</f>
        <v>Pérez Diego</v>
      </c>
      <c r="G13" s="26">
        <f>COUNTIFS(Alumnos!$F$2:$F$31,$A13,Alumnos!$G$2:$G$31,$B13)</f>
        <v>10</v>
      </c>
    </row>
    <row r="14" spans="1:7" x14ac:dyDescent="0.2">
      <c r="A14" s="21">
        <v>2</v>
      </c>
      <c r="B14" s="21" t="s">
        <v>88</v>
      </c>
      <c r="C14" s="21" t="s">
        <v>14</v>
      </c>
      <c r="D14" s="21" t="s">
        <v>31</v>
      </c>
      <c r="E14" s="21" t="s">
        <v>396</v>
      </c>
      <c r="F14" s="26" t="str">
        <f>IFERROR(INDEX(Profesores!$B$2:$B$12,MATCH($E14,Profesores!$A$2:$A$12,0))&amp;" "&amp;INDEX(Profesores!$C$2:$C$12,MATCH($E14,Profesores!$A$2:$A$12,0)),"")</f>
        <v>Ramírez Gustavo</v>
      </c>
      <c r="G14" s="26">
        <f>COUNTIFS(Alumnos!$F$2:$F$31,$A14,Alumnos!$G$2:$G$31,$B14)</f>
        <v>10</v>
      </c>
    </row>
    <row r="15" spans="1:7" x14ac:dyDescent="0.2">
      <c r="A15" s="21">
        <v>2</v>
      </c>
      <c r="B15" s="21" t="s">
        <v>88</v>
      </c>
      <c r="C15" s="21" t="s">
        <v>14</v>
      </c>
      <c r="D15" s="21" t="s">
        <v>34</v>
      </c>
      <c r="E15" s="21" t="s">
        <v>383</v>
      </c>
      <c r="F15" s="26" t="str">
        <f>IFERROR(INDEX(Profesores!$B$2:$B$12,MATCH($E15,Profesores!$A$2:$A$12,0))&amp;" "&amp;INDEX(Profesores!$C$2:$C$12,MATCH($E15,Profesores!$A$2:$A$12,0)),"")</f>
        <v>Martínez Julián</v>
      </c>
      <c r="G15" s="26">
        <f>COUNTIFS(Alumnos!$F$2:$F$31,$A15,Alumnos!$G$2:$G$31,$B15)</f>
        <v>10</v>
      </c>
    </row>
    <row r="16" spans="1:7" x14ac:dyDescent="0.2">
      <c r="A16" s="21">
        <v>2</v>
      </c>
      <c r="B16" s="21" t="s">
        <v>88</v>
      </c>
      <c r="C16" s="21" t="s">
        <v>14</v>
      </c>
      <c r="D16" s="21" t="s">
        <v>28</v>
      </c>
      <c r="E16" s="21" t="s">
        <v>387</v>
      </c>
      <c r="F16" s="26" t="str">
        <f>IFERROR(INDEX(Profesores!$B$2:$B$12,MATCH($E16,Profesores!$A$2:$A$12,0))&amp;" "&amp;INDEX(Profesores!$C$2:$C$12,MATCH($E16,Profesores!$A$2:$A$12,0)),"")</f>
        <v>Sánchez Pablo</v>
      </c>
      <c r="G16" s="26">
        <f>COUNTIFS(Alumnos!$F$2:$F$31,$A16,Alumnos!$G$2:$G$31,$B16)</f>
        <v>10</v>
      </c>
    </row>
    <row r="17" spans="1:7" x14ac:dyDescent="0.2">
      <c r="A17" s="21">
        <v>2</v>
      </c>
      <c r="B17" s="21" t="s">
        <v>88</v>
      </c>
      <c r="C17" s="21" t="s">
        <v>14</v>
      </c>
      <c r="D17" s="21" t="s">
        <v>29</v>
      </c>
      <c r="E17" s="21" t="s">
        <v>402</v>
      </c>
      <c r="F17" s="26" t="str">
        <f>IFERROR(INDEX(Profesores!$B$2:$B$12,MATCH($E17,Profesores!$A$2:$A$12,0))&amp;" "&amp;INDEX(Profesores!$C$2:$C$12,MATCH($E17,Profesores!$A$2:$A$12,0)),"")</f>
        <v>Flores Verónica</v>
      </c>
      <c r="G17" s="26">
        <f>COUNTIFS(Alumnos!$F$2:$F$31,$A17,Alumnos!$G$2:$G$31,$B17)</f>
        <v>10</v>
      </c>
    </row>
    <row r="18" spans="1:7" x14ac:dyDescent="0.2">
      <c r="A18" s="21">
        <v>3</v>
      </c>
      <c r="B18" s="21" t="s">
        <v>88</v>
      </c>
      <c r="C18" s="21" t="s">
        <v>17</v>
      </c>
      <c r="D18" s="21" t="s">
        <v>35</v>
      </c>
      <c r="E18" s="21" t="s">
        <v>360</v>
      </c>
      <c r="F18" s="26" t="str">
        <f>IFERROR(INDEX(Profesores!$B$2:$B$12,MATCH($E18,Profesores!$A$2:$A$12,0))&amp;" "&amp;INDEX(Profesores!$C$2:$C$12,MATCH($E18,Profesores!$A$2:$A$12,0)),"")</f>
        <v>Gómez Laura</v>
      </c>
      <c r="G18" s="26">
        <f>COUNTIFS(Alumnos!$F$2:$F$31,$A18,Alumnos!$G$2:$G$31,$B18)</f>
        <v>10</v>
      </c>
    </row>
    <row r="19" spans="1:7" x14ac:dyDescent="0.2">
      <c r="A19" s="21">
        <v>3</v>
      </c>
      <c r="B19" s="21" t="s">
        <v>88</v>
      </c>
      <c r="C19" s="21" t="s">
        <v>17</v>
      </c>
      <c r="D19" s="21" t="s">
        <v>36</v>
      </c>
      <c r="E19" s="21" t="s">
        <v>366</v>
      </c>
      <c r="F19" s="26" t="str">
        <f>IFERROR(INDEX(Profesores!$B$2:$B$12,MATCH($E19,Profesores!$A$2:$A$12,0))&amp;" "&amp;INDEX(Profesores!$C$2:$C$12,MATCH($E19,Profesores!$A$2:$A$12,0)),"")</f>
        <v>Fernández Marcelo</v>
      </c>
      <c r="G19" s="26">
        <f>COUNTIFS(Alumnos!$F$2:$F$31,$A19,Alumnos!$G$2:$G$31,$B19)</f>
        <v>10</v>
      </c>
    </row>
    <row r="20" spans="1:7" x14ac:dyDescent="0.2">
      <c r="A20" s="21">
        <v>3</v>
      </c>
      <c r="B20" s="21" t="s">
        <v>88</v>
      </c>
      <c r="C20" s="21" t="s">
        <v>17</v>
      </c>
      <c r="D20" s="21" t="s">
        <v>33</v>
      </c>
      <c r="E20" s="21" t="s">
        <v>370</v>
      </c>
      <c r="F20" s="26" t="str">
        <f>IFERROR(INDEX(Profesores!$B$2:$B$12,MATCH($E20,Profesores!$A$2:$A$12,0))&amp;" "&amp;INDEX(Profesores!$C$2:$C$12,MATCH($E20,Profesores!$A$2:$A$12,0)),"")</f>
        <v>Rodríguez Ana</v>
      </c>
      <c r="G20" s="26">
        <f>COUNTIFS(Alumnos!$F$2:$F$31,$A20,Alumnos!$G$2:$G$31,$B20)</f>
        <v>10</v>
      </c>
    </row>
    <row r="21" spans="1:7" x14ac:dyDescent="0.2">
      <c r="A21" s="21">
        <v>3</v>
      </c>
      <c r="B21" s="21" t="s">
        <v>88</v>
      </c>
      <c r="C21" s="21" t="s">
        <v>17</v>
      </c>
      <c r="D21" s="21" t="s">
        <v>32</v>
      </c>
      <c r="E21" s="21" t="s">
        <v>374</v>
      </c>
      <c r="F21" s="26" t="str">
        <f>IFERROR(INDEX(Profesores!$B$2:$B$12,MATCH($E21,Profesores!$A$2:$A$12,0))&amp;" "&amp;INDEX(Profesores!$C$2:$C$12,MATCH($E21,Profesores!$A$2:$A$12,0)),"")</f>
        <v>Pérez Diego</v>
      </c>
      <c r="G21" s="26">
        <f>COUNTIFS(Alumnos!$F$2:$F$31,$A21,Alumnos!$G$2:$G$31,$B21)</f>
        <v>10</v>
      </c>
    </row>
    <row r="22" spans="1:7" x14ac:dyDescent="0.2">
      <c r="A22" s="21">
        <v>3</v>
      </c>
      <c r="B22" s="21" t="s">
        <v>88</v>
      </c>
      <c r="C22" s="21" t="s">
        <v>17</v>
      </c>
      <c r="D22" s="21" t="s">
        <v>24</v>
      </c>
      <c r="E22" s="21" t="s">
        <v>378</v>
      </c>
      <c r="F22" s="26" t="str">
        <f>IFERROR(INDEX(Profesores!$B$2:$B$12,MATCH($E22,Profesores!$A$2:$A$12,0))&amp;" "&amp;INDEX(Profesores!$C$2:$C$12,MATCH($E22,Profesores!$A$2:$A$12,0)),"")</f>
        <v>López Carla</v>
      </c>
      <c r="G22" s="26">
        <f>COUNTIFS(Alumnos!$F$2:$F$31,$A22,Alumnos!$G$2:$G$31,$B22)</f>
        <v>10</v>
      </c>
    </row>
    <row r="23" spans="1:7" x14ac:dyDescent="0.2">
      <c r="A23" s="21">
        <v>3</v>
      </c>
      <c r="B23" s="21" t="s">
        <v>88</v>
      </c>
      <c r="C23" s="21" t="s">
        <v>17</v>
      </c>
      <c r="D23" s="21" t="s">
        <v>34</v>
      </c>
      <c r="E23" s="21" t="s">
        <v>383</v>
      </c>
      <c r="F23" s="26" t="str">
        <f>IFERROR(INDEX(Profesores!$B$2:$B$12,MATCH($E23,Profesores!$A$2:$A$12,0))&amp;" "&amp;INDEX(Profesores!$C$2:$C$12,MATCH($E23,Profesores!$A$2:$A$12,0)),"")</f>
        <v>Martínez Julián</v>
      </c>
      <c r="G23" s="26">
        <f>COUNTIFS(Alumnos!$F$2:$F$31,$A23,Alumnos!$G$2:$G$31,$B23)</f>
        <v>10</v>
      </c>
    </row>
    <row r="24" spans="1:7" x14ac:dyDescent="0.2">
      <c r="A24" s="21">
        <v>3</v>
      </c>
      <c r="B24" s="21" t="s">
        <v>88</v>
      </c>
      <c r="C24" s="21" t="s">
        <v>17</v>
      </c>
      <c r="D24" s="21" t="s">
        <v>28</v>
      </c>
      <c r="E24" s="21" t="s">
        <v>387</v>
      </c>
      <c r="F24" s="26" t="str">
        <f>IFERROR(INDEX(Profesores!$B$2:$B$12,MATCH($E24,Profesores!$A$2:$A$12,0))&amp;" "&amp;INDEX(Profesores!$C$2:$C$12,MATCH($E24,Profesores!$A$2:$A$12,0)),"")</f>
        <v>Sánchez Pablo</v>
      </c>
      <c r="G24" s="26">
        <f>COUNTIFS(Alumnos!$F$2:$F$31,$A24,Alumnos!$G$2:$G$31,$B24)</f>
        <v>10</v>
      </c>
    </row>
    <row r="25" spans="1:7" x14ac:dyDescent="0.2">
      <c r="A25" s="21">
        <v>3</v>
      </c>
      <c r="B25" s="21" t="s">
        <v>88</v>
      </c>
      <c r="C25" s="21" t="s">
        <v>17</v>
      </c>
      <c r="D25" s="21" t="s">
        <v>37</v>
      </c>
      <c r="E25" s="21" t="s">
        <v>406</v>
      </c>
      <c r="F25" s="26" t="str">
        <f>IFERROR(INDEX(Profesores!$B$2:$B$12,MATCH($E25,Profesores!$A$2:$A$12,0))&amp;" "&amp;INDEX(Profesores!$C$2:$C$12,MATCH($E25,Profesores!$A$2:$A$12,0)),"")</f>
        <v>Acosta Sebastián</v>
      </c>
      <c r="G25" s="26">
        <f>COUNTIFS(Alumnos!$F$2:$F$31,$A25,Alumnos!$G$2:$G$31,$B25)</f>
        <v>10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1"/>
  <sheetViews>
    <sheetView showGridLines="0" zoomScaleNormal="100" workbookViewId="0">
      <pane ySplit="1" topLeftCell="A8" activePane="bottomLeft" state="frozen"/>
      <selection pane="bottomLeft" activeCell="K20" sqref="K20"/>
    </sheetView>
  </sheetViews>
  <sheetFormatPr baseColWidth="10" defaultColWidth="25" defaultRowHeight="12.75" x14ac:dyDescent="0.2"/>
  <cols>
    <col min="1" max="12" width="25" style="20"/>
    <col min="13" max="13" width="37.7109375" style="20" customWidth="1"/>
    <col min="14" max="16384" width="25" style="20"/>
  </cols>
  <sheetData>
    <row r="1" spans="1:13" x14ac:dyDescent="0.2">
      <c r="A1" s="19" t="s">
        <v>61</v>
      </c>
      <c r="B1" s="19" t="s">
        <v>413</v>
      </c>
      <c r="C1" s="19" t="s">
        <v>66</v>
      </c>
      <c r="D1" s="19" t="s">
        <v>67</v>
      </c>
      <c r="E1" s="19" t="s">
        <v>20</v>
      </c>
      <c r="F1" s="19" t="s">
        <v>355</v>
      </c>
      <c r="G1" s="19" t="s">
        <v>414</v>
      </c>
      <c r="H1" s="19" t="s">
        <v>415</v>
      </c>
      <c r="I1" s="19" t="s">
        <v>416</v>
      </c>
      <c r="J1" s="19" t="s">
        <v>417</v>
      </c>
      <c r="K1" s="19" t="s">
        <v>21</v>
      </c>
      <c r="L1" s="19" t="s">
        <v>418</v>
      </c>
      <c r="M1" s="19" t="s">
        <v>419</v>
      </c>
    </row>
    <row r="2" spans="1:13" x14ac:dyDescent="0.2">
      <c r="A2" s="21" t="s">
        <v>84</v>
      </c>
      <c r="B2" s="26" t="str">
        <f>IFERROR(INDEX(Alumnos!$B$2:$B$31,MATCH($A2,Alumnos!$A$2:$A$31,0))&amp;", "&amp;INDEX(Alumnos!$C$2:$C$31,MATCH($A2,Alumnos!$A$2:$A$31,0)),"")</f>
        <v>Ortiz, María</v>
      </c>
      <c r="C2" s="21">
        <v>1</v>
      </c>
      <c r="D2" s="21" t="s">
        <v>88</v>
      </c>
      <c r="E2" s="21" t="s">
        <v>35</v>
      </c>
      <c r="F2" s="21" t="s">
        <v>360</v>
      </c>
      <c r="G2" s="26" t="str">
        <f>IFERROR(INDEX(Profesores!$B$2:$B$12,MATCH($F2,Profesores!$A$2:$A$12,0))&amp;" "&amp;INDEX(Profesores!$C$2:$C$12,MATCH($F2,Profesores!$A$2:$A$12,0)),"")</f>
        <v>Gómez Laura</v>
      </c>
      <c r="H2" s="21">
        <v>4</v>
      </c>
      <c r="I2" s="21">
        <v>7</v>
      </c>
      <c r="J2" s="21">
        <v>7</v>
      </c>
      <c r="K2" s="27">
        <f t="shared" ref="K2:K65" si="0">IFERROR(AVERAGE($H2:$J2),"")</f>
        <v>6</v>
      </c>
      <c r="L2" s="26" t="str">
        <f t="shared" ref="L2:L65" si="1">IF($K2="","",IF($K2&gt;=6,"Aprobado","Desaprobado"))</f>
        <v>Aprobado</v>
      </c>
      <c r="M2" s="22" t="s">
        <v>420</v>
      </c>
    </row>
    <row r="3" spans="1:13" x14ac:dyDescent="0.2">
      <c r="A3" s="21" t="s">
        <v>98</v>
      </c>
      <c r="B3" s="26" t="str">
        <f>IFERROR(INDEX(Alumnos!$B$2:$B$31,MATCH($A3,Alumnos!$A$2:$A$31,0))&amp;", "&amp;INDEX(Alumnos!$C$2:$C$31,MATCH($A3,Alumnos!$A$2:$A$31,0)),"")</f>
        <v>Herrera, Delfina</v>
      </c>
      <c r="C3" s="21">
        <v>1</v>
      </c>
      <c r="D3" s="21" t="s">
        <v>88</v>
      </c>
      <c r="E3" s="21" t="s">
        <v>35</v>
      </c>
      <c r="F3" s="21" t="s">
        <v>360</v>
      </c>
      <c r="G3" s="26" t="str">
        <f>IFERROR(INDEX(Profesores!$B$2:$B$12,MATCH($F3,Profesores!$A$2:$A$12,0))&amp;" "&amp;INDEX(Profesores!$C$2:$C$12,MATCH($F3,Profesores!$A$2:$A$12,0)),"")</f>
        <v>Gómez Laura</v>
      </c>
      <c r="H3" s="21">
        <v>8</v>
      </c>
      <c r="I3" s="21">
        <v>7</v>
      </c>
      <c r="J3" s="21">
        <v>7</v>
      </c>
      <c r="K3" s="27">
        <f t="shared" si="0"/>
        <v>7.333333333333333</v>
      </c>
      <c r="L3" s="26" t="str">
        <f t="shared" si="1"/>
        <v>Aprobado</v>
      </c>
      <c r="M3" s="22"/>
    </row>
    <row r="4" spans="1:13" x14ac:dyDescent="0.2">
      <c r="A4" s="21" t="s">
        <v>109</v>
      </c>
      <c r="B4" s="26" t="str">
        <f>IFERROR(INDEX(Alumnos!$B$2:$B$31,MATCH($A4,Alumnos!$A$2:$A$31,0))&amp;", "&amp;INDEX(Alumnos!$C$2:$C$31,MATCH($A4,Alumnos!$A$2:$A$31,0)),"")</f>
        <v>Vega, Joaquín</v>
      </c>
      <c r="C4" s="21">
        <v>1</v>
      </c>
      <c r="D4" s="21" t="s">
        <v>88</v>
      </c>
      <c r="E4" s="21" t="s">
        <v>35</v>
      </c>
      <c r="F4" s="21" t="s">
        <v>360</v>
      </c>
      <c r="G4" s="26" t="str">
        <f>IFERROR(INDEX(Profesores!$B$2:$B$12,MATCH($F4,Profesores!$A$2:$A$12,0))&amp;" "&amp;INDEX(Profesores!$C$2:$C$12,MATCH($F4,Profesores!$A$2:$A$12,0)),"")</f>
        <v>Gómez Laura</v>
      </c>
      <c r="H4" s="21">
        <v>5</v>
      </c>
      <c r="I4" s="21">
        <v>10</v>
      </c>
      <c r="J4" s="21">
        <v>7</v>
      </c>
      <c r="K4" s="27">
        <f t="shared" si="0"/>
        <v>7.333333333333333</v>
      </c>
      <c r="L4" s="26" t="str">
        <f t="shared" si="1"/>
        <v>Aprobado</v>
      </c>
      <c r="M4" s="22" t="s">
        <v>421</v>
      </c>
    </row>
    <row r="5" spans="1:13" x14ac:dyDescent="0.2">
      <c r="A5" s="21" t="s">
        <v>121</v>
      </c>
      <c r="B5" s="26" t="str">
        <f>IFERROR(INDEX(Alumnos!$B$2:$B$31,MATCH($A5,Alumnos!$A$2:$A$31,0))&amp;", "&amp;INDEX(Alumnos!$C$2:$C$31,MATCH($A5,Alumnos!$A$2:$A$31,0)),"")</f>
        <v>Silva, Tomás</v>
      </c>
      <c r="C5" s="21">
        <v>1</v>
      </c>
      <c r="D5" s="21" t="s">
        <v>88</v>
      </c>
      <c r="E5" s="21" t="s">
        <v>35</v>
      </c>
      <c r="F5" s="21" t="s">
        <v>360</v>
      </c>
      <c r="G5" s="26" t="str">
        <f>IFERROR(INDEX(Profesores!$B$2:$B$12,MATCH($F5,Profesores!$A$2:$A$12,0))&amp;" "&amp;INDEX(Profesores!$C$2:$C$12,MATCH($F5,Profesores!$A$2:$A$12,0)),"")</f>
        <v>Gómez Laura</v>
      </c>
      <c r="H5" s="21">
        <v>10</v>
      </c>
      <c r="I5" s="21">
        <v>8</v>
      </c>
      <c r="J5" s="21">
        <v>9</v>
      </c>
      <c r="K5" s="27">
        <f t="shared" si="0"/>
        <v>9</v>
      </c>
      <c r="L5" s="26" t="str">
        <f t="shared" si="1"/>
        <v>Aprobado</v>
      </c>
      <c r="M5" s="22"/>
    </row>
    <row r="6" spans="1:13" x14ac:dyDescent="0.2">
      <c r="A6" s="21" t="s">
        <v>134</v>
      </c>
      <c r="B6" s="26" t="str">
        <f>IFERROR(INDEX(Alumnos!$B$2:$B$31,MATCH($A6,Alumnos!$A$2:$A$31,0))&amp;", "&amp;INDEX(Alumnos!$C$2:$C$31,MATCH($A6,Alumnos!$A$2:$A$31,0)),"")</f>
        <v>Sánchez, Franco</v>
      </c>
      <c r="C6" s="21">
        <v>1</v>
      </c>
      <c r="D6" s="21" t="s">
        <v>88</v>
      </c>
      <c r="E6" s="21" t="s">
        <v>35</v>
      </c>
      <c r="F6" s="21" t="s">
        <v>360</v>
      </c>
      <c r="G6" s="26" t="str">
        <f>IFERROR(INDEX(Profesores!$B$2:$B$12,MATCH($F6,Profesores!$A$2:$A$12,0))&amp;" "&amp;INDEX(Profesores!$C$2:$C$12,MATCH($F6,Profesores!$A$2:$A$12,0)),"")</f>
        <v>Gómez Laura</v>
      </c>
      <c r="H6" s="21">
        <v>10</v>
      </c>
      <c r="I6" s="21">
        <v>10</v>
      </c>
      <c r="J6" s="21">
        <v>8</v>
      </c>
      <c r="K6" s="27">
        <f t="shared" si="0"/>
        <v>9.3333333333333339</v>
      </c>
      <c r="L6" s="26" t="str">
        <f t="shared" si="1"/>
        <v>Aprobado</v>
      </c>
      <c r="M6" s="22" t="s">
        <v>421</v>
      </c>
    </row>
    <row r="7" spans="1:13" x14ac:dyDescent="0.2">
      <c r="A7" s="21" t="s">
        <v>144</v>
      </c>
      <c r="B7" s="26" t="str">
        <f>IFERROR(INDEX(Alumnos!$B$2:$B$31,MATCH($A7,Alumnos!$A$2:$A$31,0))&amp;", "&amp;INDEX(Alumnos!$C$2:$C$31,MATCH($A7,Alumnos!$A$2:$A$31,0)),"")</f>
        <v>Luna, Iván</v>
      </c>
      <c r="C7" s="21">
        <v>1</v>
      </c>
      <c r="D7" s="21" t="s">
        <v>88</v>
      </c>
      <c r="E7" s="21" t="s">
        <v>35</v>
      </c>
      <c r="F7" s="21" t="s">
        <v>360</v>
      </c>
      <c r="G7" s="26" t="str">
        <f>IFERROR(INDEX(Profesores!$B$2:$B$12,MATCH($F7,Profesores!$A$2:$A$12,0))&amp;" "&amp;INDEX(Profesores!$C$2:$C$12,MATCH($F7,Profesores!$A$2:$A$12,0)),"")</f>
        <v>Gómez Laura</v>
      </c>
      <c r="H7" s="21">
        <v>7</v>
      </c>
      <c r="I7" s="21">
        <v>4</v>
      </c>
      <c r="J7" s="21">
        <v>6</v>
      </c>
      <c r="K7" s="27">
        <f t="shared" si="0"/>
        <v>5.666666666666667</v>
      </c>
      <c r="L7" s="26" t="str">
        <f t="shared" si="1"/>
        <v>Desaprobado</v>
      </c>
      <c r="M7" s="22" t="s">
        <v>422</v>
      </c>
    </row>
    <row r="8" spans="1:13" x14ac:dyDescent="0.2">
      <c r="A8" s="21" t="s">
        <v>156</v>
      </c>
      <c r="B8" s="26" t="str">
        <f>IFERROR(INDEX(Alumnos!$B$2:$B$31,MATCH($A8,Alumnos!$A$2:$A$31,0))&amp;", "&amp;INDEX(Alumnos!$C$2:$C$31,MATCH($A8,Alumnos!$A$2:$A$31,0)),"")</f>
        <v>Medina, Valentina</v>
      </c>
      <c r="C8" s="21">
        <v>1</v>
      </c>
      <c r="D8" s="21" t="s">
        <v>88</v>
      </c>
      <c r="E8" s="21" t="s">
        <v>35</v>
      </c>
      <c r="F8" s="21" t="s">
        <v>360</v>
      </c>
      <c r="G8" s="26" t="str">
        <f>IFERROR(INDEX(Profesores!$B$2:$B$12,MATCH($F8,Profesores!$A$2:$A$12,0))&amp;" "&amp;INDEX(Profesores!$C$2:$C$12,MATCH($F8,Profesores!$A$2:$A$12,0)),"")</f>
        <v>Gómez Laura</v>
      </c>
      <c r="H8" s="21">
        <v>10</v>
      </c>
      <c r="I8" s="21">
        <v>7</v>
      </c>
      <c r="J8" s="21">
        <v>10</v>
      </c>
      <c r="K8" s="27">
        <f t="shared" si="0"/>
        <v>9</v>
      </c>
      <c r="L8" s="26" t="str">
        <f t="shared" si="1"/>
        <v>Aprobado</v>
      </c>
      <c r="M8" s="22" t="s">
        <v>421</v>
      </c>
    </row>
    <row r="9" spans="1:13" x14ac:dyDescent="0.2">
      <c r="A9" s="21" t="s">
        <v>168</v>
      </c>
      <c r="B9" s="26" t="str">
        <f>IFERROR(INDEX(Alumnos!$B$2:$B$31,MATCH($A9,Alumnos!$A$2:$A$31,0))&amp;", "&amp;INDEX(Alumnos!$C$2:$C$31,MATCH($A9,Alumnos!$A$2:$A$31,0)),"")</f>
        <v>Rojas, María</v>
      </c>
      <c r="C9" s="21">
        <v>1</v>
      </c>
      <c r="D9" s="21" t="s">
        <v>88</v>
      </c>
      <c r="E9" s="21" t="s">
        <v>35</v>
      </c>
      <c r="F9" s="21" t="s">
        <v>360</v>
      </c>
      <c r="G9" s="26" t="str">
        <f>IFERROR(INDEX(Profesores!$B$2:$B$12,MATCH($F9,Profesores!$A$2:$A$12,0))&amp;" "&amp;INDEX(Profesores!$C$2:$C$12,MATCH($F9,Profesores!$A$2:$A$12,0)),"")</f>
        <v>Gómez Laura</v>
      </c>
      <c r="H9" s="21">
        <v>8</v>
      </c>
      <c r="I9" s="21">
        <v>9</v>
      </c>
      <c r="J9" s="21">
        <v>9</v>
      </c>
      <c r="K9" s="27">
        <f t="shared" si="0"/>
        <v>8.6666666666666661</v>
      </c>
      <c r="L9" s="26" t="str">
        <f t="shared" si="1"/>
        <v>Aprobado</v>
      </c>
      <c r="M9" s="22" t="s">
        <v>423</v>
      </c>
    </row>
    <row r="10" spans="1:13" x14ac:dyDescent="0.2">
      <c r="A10" s="21" t="s">
        <v>178</v>
      </c>
      <c r="B10" s="26" t="str">
        <f>IFERROR(INDEX(Alumnos!$B$2:$B$31,MATCH($A10,Alumnos!$A$2:$A$31,0))&amp;", "&amp;INDEX(Alumnos!$C$2:$C$31,MATCH($A10,Alumnos!$A$2:$A$31,0)),"")</f>
        <v>Cabrera, Sofía</v>
      </c>
      <c r="C10" s="21">
        <v>1</v>
      </c>
      <c r="D10" s="21" t="s">
        <v>88</v>
      </c>
      <c r="E10" s="21" t="s">
        <v>35</v>
      </c>
      <c r="F10" s="21" t="s">
        <v>360</v>
      </c>
      <c r="G10" s="26" t="str">
        <f>IFERROR(INDEX(Profesores!$B$2:$B$12,MATCH($F10,Profesores!$A$2:$A$12,0))&amp;" "&amp;INDEX(Profesores!$C$2:$C$12,MATCH($F10,Profesores!$A$2:$A$12,0)),"")</f>
        <v>Gómez Laura</v>
      </c>
      <c r="H10" s="21">
        <v>10</v>
      </c>
      <c r="I10" s="21">
        <v>8</v>
      </c>
      <c r="J10" s="21">
        <v>5</v>
      </c>
      <c r="K10" s="27">
        <f t="shared" si="0"/>
        <v>7.666666666666667</v>
      </c>
      <c r="L10" s="26" t="str">
        <f t="shared" si="1"/>
        <v>Aprobado</v>
      </c>
      <c r="M10" s="22" t="s">
        <v>424</v>
      </c>
    </row>
    <row r="11" spans="1:13" x14ac:dyDescent="0.2">
      <c r="A11" s="21" t="s">
        <v>188</v>
      </c>
      <c r="B11" s="26" t="str">
        <f>IFERROR(INDEX(Alumnos!$B$2:$B$31,MATCH($A11,Alumnos!$A$2:$A$31,0))&amp;", "&amp;INDEX(Alumnos!$C$2:$C$31,MATCH($A11,Alumnos!$A$2:$A$31,0)),"")</f>
        <v>Núñez, Renata</v>
      </c>
      <c r="C11" s="21">
        <v>1</v>
      </c>
      <c r="D11" s="21" t="s">
        <v>88</v>
      </c>
      <c r="E11" s="21" t="s">
        <v>35</v>
      </c>
      <c r="F11" s="21" t="s">
        <v>360</v>
      </c>
      <c r="G11" s="26" t="str">
        <f>IFERROR(INDEX(Profesores!$B$2:$B$12,MATCH($F11,Profesores!$A$2:$A$12,0))&amp;" "&amp;INDEX(Profesores!$C$2:$C$12,MATCH($F11,Profesores!$A$2:$A$12,0)),"")</f>
        <v>Gómez Laura</v>
      </c>
      <c r="H11" s="21">
        <v>5</v>
      </c>
      <c r="I11" s="21">
        <v>6</v>
      </c>
      <c r="J11" s="21">
        <v>7</v>
      </c>
      <c r="K11" s="27">
        <f t="shared" si="0"/>
        <v>6</v>
      </c>
      <c r="L11" s="26" t="str">
        <f t="shared" si="1"/>
        <v>Aprobado</v>
      </c>
      <c r="M11" s="22" t="s">
        <v>424</v>
      </c>
    </row>
    <row r="12" spans="1:13" x14ac:dyDescent="0.2">
      <c r="A12" s="21" t="s">
        <v>84</v>
      </c>
      <c r="B12" s="26" t="str">
        <f>IFERROR(INDEX(Alumnos!$B$2:$B$31,MATCH($A12,Alumnos!$A$2:$A$31,0))&amp;", "&amp;INDEX(Alumnos!$C$2:$C$31,MATCH($A12,Alumnos!$A$2:$A$31,0)),"")</f>
        <v>Ortiz, María</v>
      </c>
      <c r="C12" s="21">
        <v>1</v>
      </c>
      <c r="D12" s="21" t="s">
        <v>88</v>
      </c>
      <c r="E12" s="21" t="s">
        <v>36</v>
      </c>
      <c r="F12" s="21" t="s">
        <v>366</v>
      </c>
      <c r="G12" s="26" t="str">
        <f>IFERROR(INDEX(Profesores!$B$2:$B$12,MATCH($F12,Profesores!$A$2:$A$12,0))&amp;" "&amp;INDEX(Profesores!$C$2:$C$12,MATCH($F12,Profesores!$A$2:$A$12,0)),"")</f>
        <v>Fernández Marcelo</v>
      </c>
      <c r="H12" s="21">
        <v>4</v>
      </c>
      <c r="I12" s="21">
        <v>7</v>
      </c>
      <c r="J12" s="21">
        <v>6</v>
      </c>
      <c r="K12" s="27">
        <f t="shared" si="0"/>
        <v>5.666666666666667</v>
      </c>
      <c r="L12" s="26" t="str">
        <f t="shared" si="1"/>
        <v>Desaprobado</v>
      </c>
      <c r="M12" s="22" t="s">
        <v>421</v>
      </c>
    </row>
    <row r="13" spans="1:13" x14ac:dyDescent="0.2">
      <c r="A13" s="21" t="s">
        <v>98</v>
      </c>
      <c r="B13" s="26" t="str">
        <f>IFERROR(INDEX(Alumnos!$B$2:$B$31,MATCH($A13,Alumnos!$A$2:$A$31,0))&amp;", "&amp;INDEX(Alumnos!$C$2:$C$31,MATCH($A13,Alumnos!$A$2:$A$31,0)),"")</f>
        <v>Herrera, Delfina</v>
      </c>
      <c r="C13" s="21">
        <v>1</v>
      </c>
      <c r="D13" s="21" t="s">
        <v>88</v>
      </c>
      <c r="E13" s="21" t="s">
        <v>36</v>
      </c>
      <c r="F13" s="21" t="s">
        <v>366</v>
      </c>
      <c r="G13" s="26" t="str">
        <f>IFERROR(INDEX(Profesores!$B$2:$B$12,MATCH($F13,Profesores!$A$2:$A$12,0))&amp;" "&amp;INDEX(Profesores!$C$2:$C$12,MATCH($F13,Profesores!$A$2:$A$12,0)),"")</f>
        <v>Fernández Marcelo</v>
      </c>
      <c r="H13" s="21">
        <v>9</v>
      </c>
      <c r="I13" s="21">
        <v>5</v>
      </c>
      <c r="J13" s="21">
        <v>10</v>
      </c>
      <c r="K13" s="27">
        <f t="shared" si="0"/>
        <v>8</v>
      </c>
      <c r="L13" s="26" t="str">
        <f t="shared" si="1"/>
        <v>Aprobado</v>
      </c>
      <c r="M13" s="22" t="s">
        <v>424</v>
      </c>
    </row>
    <row r="14" spans="1:13" x14ac:dyDescent="0.2">
      <c r="A14" s="21" t="s">
        <v>109</v>
      </c>
      <c r="B14" s="26" t="str">
        <f>IFERROR(INDEX(Alumnos!$B$2:$B$31,MATCH($A14,Alumnos!$A$2:$A$31,0))&amp;", "&amp;INDEX(Alumnos!$C$2:$C$31,MATCH($A14,Alumnos!$A$2:$A$31,0)),"")</f>
        <v>Vega, Joaquín</v>
      </c>
      <c r="C14" s="21">
        <v>1</v>
      </c>
      <c r="D14" s="21" t="s">
        <v>88</v>
      </c>
      <c r="E14" s="21" t="s">
        <v>36</v>
      </c>
      <c r="F14" s="21" t="s">
        <v>366</v>
      </c>
      <c r="G14" s="26" t="str">
        <f>IFERROR(INDEX(Profesores!$B$2:$B$12,MATCH($F14,Profesores!$A$2:$A$12,0))&amp;" "&amp;INDEX(Profesores!$C$2:$C$12,MATCH($F14,Profesores!$A$2:$A$12,0)),"")</f>
        <v>Fernández Marcelo</v>
      </c>
      <c r="H14" s="21">
        <v>5</v>
      </c>
      <c r="I14" s="21">
        <v>8</v>
      </c>
      <c r="J14" s="21">
        <v>8</v>
      </c>
      <c r="K14" s="27">
        <f t="shared" si="0"/>
        <v>7</v>
      </c>
      <c r="L14" s="26" t="str">
        <f t="shared" si="1"/>
        <v>Aprobado</v>
      </c>
      <c r="M14" s="22"/>
    </row>
    <row r="15" spans="1:13" x14ac:dyDescent="0.2">
      <c r="A15" s="21" t="s">
        <v>121</v>
      </c>
      <c r="B15" s="26" t="str">
        <f>IFERROR(INDEX(Alumnos!$B$2:$B$31,MATCH($A15,Alumnos!$A$2:$A$31,0))&amp;", "&amp;INDEX(Alumnos!$C$2:$C$31,MATCH($A15,Alumnos!$A$2:$A$31,0)),"")</f>
        <v>Silva, Tomás</v>
      </c>
      <c r="C15" s="21">
        <v>1</v>
      </c>
      <c r="D15" s="21" t="s">
        <v>88</v>
      </c>
      <c r="E15" s="21" t="s">
        <v>36</v>
      </c>
      <c r="F15" s="21" t="s">
        <v>366</v>
      </c>
      <c r="G15" s="26" t="str">
        <f>IFERROR(INDEX(Profesores!$B$2:$B$12,MATCH($F15,Profesores!$A$2:$A$12,0))&amp;" "&amp;INDEX(Profesores!$C$2:$C$12,MATCH($F15,Profesores!$A$2:$A$12,0)),"")</f>
        <v>Fernández Marcelo</v>
      </c>
      <c r="H15" s="21">
        <v>7</v>
      </c>
      <c r="I15" s="21">
        <v>8</v>
      </c>
      <c r="J15" s="21">
        <v>8</v>
      </c>
      <c r="K15" s="27">
        <f t="shared" si="0"/>
        <v>7.666666666666667</v>
      </c>
      <c r="L15" s="26" t="str">
        <f t="shared" si="1"/>
        <v>Aprobado</v>
      </c>
      <c r="M15" s="22"/>
    </row>
    <row r="16" spans="1:13" x14ac:dyDescent="0.2">
      <c r="A16" s="21" t="s">
        <v>134</v>
      </c>
      <c r="B16" s="26" t="str">
        <f>IFERROR(INDEX(Alumnos!$B$2:$B$31,MATCH($A16,Alumnos!$A$2:$A$31,0))&amp;", "&amp;INDEX(Alumnos!$C$2:$C$31,MATCH($A16,Alumnos!$A$2:$A$31,0)),"")</f>
        <v>Sánchez, Franco</v>
      </c>
      <c r="C16" s="21">
        <v>1</v>
      </c>
      <c r="D16" s="21" t="s">
        <v>88</v>
      </c>
      <c r="E16" s="21" t="s">
        <v>36</v>
      </c>
      <c r="F16" s="21" t="s">
        <v>366</v>
      </c>
      <c r="G16" s="26" t="str">
        <f>IFERROR(INDEX(Profesores!$B$2:$B$12,MATCH($F16,Profesores!$A$2:$A$12,0))&amp;" "&amp;INDEX(Profesores!$C$2:$C$12,MATCH($F16,Profesores!$A$2:$A$12,0)),"")</f>
        <v>Fernández Marcelo</v>
      </c>
      <c r="H16" s="21">
        <v>4</v>
      </c>
      <c r="I16" s="21">
        <v>9</v>
      </c>
      <c r="J16" s="21">
        <v>7</v>
      </c>
      <c r="K16" s="27">
        <f t="shared" si="0"/>
        <v>6.666666666666667</v>
      </c>
      <c r="L16" s="26" t="str">
        <f t="shared" si="1"/>
        <v>Aprobado</v>
      </c>
      <c r="M16" s="22"/>
    </row>
    <row r="17" spans="1:13" x14ac:dyDescent="0.2">
      <c r="A17" s="21" t="s">
        <v>144</v>
      </c>
      <c r="B17" s="26" t="str">
        <f>IFERROR(INDEX(Alumnos!$B$2:$B$31,MATCH($A17,Alumnos!$A$2:$A$31,0))&amp;", "&amp;INDEX(Alumnos!$C$2:$C$31,MATCH($A17,Alumnos!$A$2:$A$31,0)),"")</f>
        <v>Luna, Iván</v>
      </c>
      <c r="C17" s="21">
        <v>1</v>
      </c>
      <c r="D17" s="21" t="s">
        <v>88</v>
      </c>
      <c r="E17" s="21" t="s">
        <v>36</v>
      </c>
      <c r="F17" s="21" t="s">
        <v>366</v>
      </c>
      <c r="G17" s="26" t="str">
        <f>IFERROR(INDEX(Profesores!$B$2:$B$12,MATCH($F17,Profesores!$A$2:$A$12,0))&amp;" "&amp;INDEX(Profesores!$C$2:$C$12,MATCH($F17,Profesores!$A$2:$A$12,0)),"")</f>
        <v>Fernández Marcelo</v>
      </c>
      <c r="H17" s="21">
        <v>10</v>
      </c>
      <c r="I17" s="21">
        <v>7</v>
      </c>
      <c r="J17" s="21">
        <v>5</v>
      </c>
      <c r="K17" s="27">
        <f t="shared" si="0"/>
        <v>7.333333333333333</v>
      </c>
      <c r="L17" s="26" t="str">
        <f t="shared" si="1"/>
        <v>Aprobado</v>
      </c>
      <c r="M17" s="22"/>
    </row>
    <row r="18" spans="1:13" x14ac:dyDescent="0.2">
      <c r="A18" s="21" t="s">
        <v>156</v>
      </c>
      <c r="B18" s="26" t="str">
        <f>IFERROR(INDEX(Alumnos!$B$2:$B$31,MATCH($A18,Alumnos!$A$2:$A$31,0))&amp;", "&amp;INDEX(Alumnos!$C$2:$C$31,MATCH($A18,Alumnos!$A$2:$A$31,0)),"")</f>
        <v>Medina, Valentina</v>
      </c>
      <c r="C18" s="21">
        <v>1</v>
      </c>
      <c r="D18" s="21" t="s">
        <v>88</v>
      </c>
      <c r="E18" s="21" t="s">
        <v>36</v>
      </c>
      <c r="F18" s="21" t="s">
        <v>366</v>
      </c>
      <c r="G18" s="26" t="str">
        <f>IFERROR(INDEX(Profesores!$B$2:$B$12,MATCH($F18,Profesores!$A$2:$A$12,0))&amp;" "&amp;INDEX(Profesores!$C$2:$C$12,MATCH($F18,Profesores!$A$2:$A$12,0)),"")</f>
        <v>Fernández Marcelo</v>
      </c>
      <c r="H18" s="21">
        <v>6</v>
      </c>
      <c r="I18" s="21">
        <v>7</v>
      </c>
      <c r="J18" s="21">
        <v>6</v>
      </c>
      <c r="K18" s="27">
        <f t="shared" si="0"/>
        <v>6.333333333333333</v>
      </c>
      <c r="L18" s="26" t="str">
        <f t="shared" si="1"/>
        <v>Aprobado</v>
      </c>
      <c r="M18" s="22" t="s">
        <v>425</v>
      </c>
    </row>
    <row r="19" spans="1:13" x14ac:dyDescent="0.2">
      <c r="A19" s="21" t="s">
        <v>168</v>
      </c>
      <c r="B19" s="26" t="str">
        <f>IFERROR(INDEX(Alumnos!$B$2:$B$31,MATCH($A19,Alumnos!$A$2:$A$31,0))&amp;", "&amp;INDEX(Alumnos!$C$2:$C$31,MATCH($A19,Alumnos!$A$2:$A$31,0)),"")</f>
        <v>Rojas, María</v>
      </c>
      <c r="C19" s="21">
        <v>1</v>
      </c>
      <c r="D19" s="21" t="s">
        <v>88</v>
      </c>
      <c r="E19" s="21" t="s">
        <v>36</v>
      </c>
      <c r="F19" s="21" t="s">
        <v>366</v>
      </c>
      <c r="G19" s="26" t="str">
        <f>IFERROR(INDEX(Profesores!$B$2:$B$12,MATCH($F19,Profesores!$A$2:$A$12,0))&amp;" "&amp;INDEX(Profesores!$C$2:$C$12,MATCH($F19,Profesores!$A$2:$A$12,0)),"")</f>
        <v>Fernández Marcelo</v>
      </c>
      <c r="H19" s="21">
        <v>7</v>
      </c>
      <c r="I19" s="21">
        <v>6</v>
      </c>
      <c r="J19" s="21">
        <v>6</v>
      </c>
      <c r="K19" s="27">
        <f t="shared" si="0"/>
        <v>6.333333333333333</v>
      </c>
      <c r="L19" s="26" t="str">
        <f t="shared" si="1"/>
        <v>Aprobado</v>
      </c>
      <c r="M19" s="22" t="s">
        <v>421</v>
      </c>
    </row>
    <row r="20" spans="1:13" x14ac:dyDescent="0.2">
      <c r="A20" s="21" t="s">
        <v>178</v>
      </c>
      <c r="B20" s="26" t="str">
        <f>IFERROR(INDEX(Alumnos!$B$2:$B$31,MATCH($A20,Alumnos!$A$2:$A$31,0))&amp;", "&amp;INDEX(Alumnos!$C$2:$C$31,MATCH($A20,Alumnos!$A$2:$A$31,0)),"")</f>
        <v>Cabrera, Sofía</v>
      </c>
      <c r="C20" s="21">
        <v>1</v>
      </c>
      <c r="D20" s="21" t="s">
        <v>88</v>
      </c>
      <c r="E20" s="21" t="s">
        <v>36</v>
      </c>
      <c r="F20" s="21" t="s">
        <v>366</v>
      </c>
      <c r="G20" s="26" t="str">
        <f>IFERROR(INDEX(Profesores!$B$2:$B$12,MATCH($F20,Profesores!$A$2:$A$12,0))&amp;" "&amp;INDEX(Profesores!$C$2:$C$12,MATCH($F20,Profesores!$A$2:$A$12,0)),"")</f>
        <v>Fernández Marcelo</v>
      </c>
      <c r="H20" s="21">
        <v>6</v>
      </c>
      <c r="I20" s="21">
        <v>10</v>
      </c>
      <c r="J20" s="21">
        <v>10</v>
      </c>
      <c r="K20" s="27">
        <f t="shared" si="0"/>
        <v>8.6666666666666661</v>
      </c>
      <c r="L20" s="26" t="str">
        <f t="shared" si="1"/>
        <v>Aprobado</v>
      </c>
      <c r="M20" s="22" t="s">
        <v>421</v>
      </c>
    </row>
    <row r="21" spans="1:13" x14ac:dyDescent="0.2">
      <c r="A21" s="21" t="s">
        <v>188</v>
      </c>
      <c r="B21" s="26" t="str">
        <f>IFERROR(INDEX(Alumnos!$B$2:$B$31,MATCH($A21,Alumnos!$A$2:$A$31,0))&amp;", "&amp;INDEX(Alumnos!$C$2:$C$31,MATCH($A21,Alumnos!$A$2:$A$31,0)),"")</f>
        <v>Núñez, Renata</v>
      </c>
      <c r="C21" s="21">
        <v>1</v>
      </c>
      <c r="D21" s="21" t="s">
        <v>88</v>
      </c>
      <c r="E21" s="21" t="s">
        <v>36</v>
      </c>
      <c r="F21" s="21" t="s">
        <v>366</v>
      </c>
      <c r="G21" s="26" t="str">
        <f>IFERROR(INDEX(Profesores!$B$2:$B$12,MATCH($F21,Profesores!$A$2:$A$12,0))&amp;" "&amp;INDEX(Profesores!$C$2:$C$12,MATCH($F21,Profesores!$A$2:$A$12,0)),"")</f>
        <v>Fernández Marcelo</v>
      </c>
      <c r="H21" s="21">
        <v>6</v>
      </c>
      <c r="I21" s="21">
        <v>10</v>
      </c>
      <c r="J21" s="21">
        <v>4</v>
      </c>
      <c r="K21" s="27">
        <f t="shared" si="0"/>
        <v>6.666666666666667</v>
      </c>
      <c r="L21" s="26" t="str">
        <f t="shared" si="1"/>
        <v>Aprobado</v>
      </c>
      <c r="M21" s="22" t="s">
        <v>424</v>
      </c>
    </row>
    <row r="22" spans="1:13" x14ac:dyDescent="0.2">
      <c r="A22" s="21" t="s">
        <v>84</v>
      </c>
      <c r="B22" s="26" t="str">
        <f>IFERROR(INDEX(Alumnos!$B$2:$B$31,MATCH($A22,Alumnos!$A$2:$A$31,0))&amp;", "&amp;INDEX(Alumnos!$C$2:$C$31,MATCH($A22,Alumnos!$A$2:$A$31,0)),"")</f>
        <v>Ortiz, María</v>
      </c>
      <c r="C22" s="21">
        <v>1</v>
      </c>
      <c r="D22" s="21" t="s">
        <v>88</v>
      </c>
      <c r="E22" s="21" t="s">
        <v>33</v>
      </c>
      <c r="F22" s="21" t="s">
        <v>370</v>
      </c>
      <c r="G22" s="26" t="str">
        <f>IFERROR(INDEX(Profesores!$B$2:$B$12,MATCH($F22,Profesores!$A$2:$A$12,0))&amp;" "&amp;INDEX(Profesores!$C$2:$C$12,MATCH($F22,Profesores!$A$2:$A$12,0)),"")</f>
        <v>Rodríguez Ana</v>
      </c>
      <c r="H22" s="21">
        <v>4</v>
      </c>
      <c r="I22" s="21">
        <v>9</v>
      </c>
      <c r="J22" s="21">
        <v>8</v>
      </c>
      <c r="K22" s="27">
        <f t="shared" si="0"/>
        <v>7</v>
      </c>
      <c r="L22" s="26" t="str">
        <f t="shared" si="1"/>
        <v>Aprobado</v>
      </c>
      <c r="M22" s="22"/>
    </row>
    <row r="23" spans="1:13" x14ac:dyDescent="0.2">
      <c r="A23" s="21" t="s">
        <v>98</v>
      </c>
      <c r="B23" s="26" t="str">
        <f>IFERROR(INDEX(Alumnos!$B$2:$B$31,MATCH($A23,Alumnos!$A$2:$A$31,0))&amp;", "&amp;INDEX(Alumnos!$C$2:$C$31,MATCH($A23,Alumnos!$A$2:$A$31,0)),"")</f>
        <v>Herrera, Delfina</v>
      </c>
      <c r="C23" s="21">
        <v>1</v>
      </c>
      <c r="D23" s="21" t="s">
        <v>88</v>
      </c>
      <c r="E23" s="21" t="s">
        <v>33</v>
      </c>
      <c r="F23" s="21" t="s">
        <v>370</v>
      </c>
      <c r="G23" s="26" t="str">
        <f>IFERROR(INDEX(Profesores!$B$2:$B$12,MATCH($F23,Profesores!$A$2:$A$12,0))&amp;" "&amp;INDEX(Profesores!$C$2:$C$12,MATCH($F23,Profesores!$A$2:$A$12,0)),"")</f>
        <v>Rodríguez Ana</v>
      </c>
      <c r="H23" s="21">
        <v>6</v>
      </c>
      <c r="I23" s="21">
        <v>5</v>
      </c>
      <c r="J23" s="21">
        <v>9</v>
      </c>
      <c r="K23" s="27">
        <f t="shared" si="0"/>
        <v>6.666666666666667</v>
      </c>
      <c r="L23" s="26" t="str">
        <f t="shared" si="1"/>
        <v>Aprobado</v>
      </c>
      <c r="M23" s="22"/>
    </row>
    <row r="24" spans="1:13" x14ac:dyDescent="0.2">
      <c r="A24" s="21" t="s">
        <v>109</v>
      </c>
      <c r="B24" s="26" t="str">
        <f>IFERROR(INDEX(Alumnos!$B$2:$B$31,MATCH($A24,Alumnos!$A$2:$A$31,0))&amp;", "&amp;INDEX(Alumnos!$C$2:$C$31,MATCH($A24,Alumnos!$A$2:$A$31,0)),"")</f>
        <v>Vega, Joaquín</v>
      </c>
      <c r="C24" s="21">
        <v>1</v>
      </c>
      <c r="D24" s="21" t="s">
        <v>88</v>
      </c>
      <c r="E24" s="21" t="s">
        <v>33</v>
      </c>
      <c r="F24" s="21" t="s">
        <v>370</v>
      </c>
      <c r="G24" s="26" t="str">
        <f>IFERROR(INDEX(Profesores!$B$2:$B$12,MATCH($F24,Profesores!$A$2:$A$12,0))&amp;" "&amp;INDEX(Profesores!$C$2:$C$12,MATCH($F24,Profesores!$A$2:$A$12,0)),"")</f>
        <v>Rodríguez Ana</v>
      </c>
      <c r="H24" s="21">
        <v>10</v>
      </c>
      <c r="I24" s="21">
        <v>9</v>
      </c>
      <c r="J24" s="21">
        <v>4</v>
      </c>
      <c r="K24" s="27">
        <f t="shared" si="0"/>
        <v>7.666666666666667</v>
      </c>
      <c r="L24" s="26" t="str">
        <f t="shared" si="1"/>
        <v>Aprobado</v>
      </c>
      <c r="M24" s="22"/>
    </row>
    <row r="25" spans="1:13" x14ac:dyDescent="0.2">
      <c r="A25" s="21" t="s">
        <v>121</v>
      </c>
      <c r="B25" s="26" t="str">
        <f>IFERROR(INDEX(Alumnos!$B$2:$B$31,MATCH($A25,Alumnos!$A$2:$A$31,0))&amp;", "&amp;INDEX(Alumnos!$C$2:$C$31,MATCH($A25,Alumnos!$A$2:$A$31,0)),"")</f>
        <v>Silva, Tomás</v>
      </c>
      <c r="C25" s="21">
        <v>1</v>
      </c>
      <c r="D25" s="21" t="s">
        <v>88</v>
      </c>
      <c r="E25" s="21" t="s">
        <v>33</v>
      </c>
      <c r="F25" s="21" t="s">
        <v>370</v>
      </c>
      <c r="G25" s="26" t="str">
        <f>IFERROR(INDEX(Profesores!$B$2:$B$12,MATCH($F25,Profesores!$A$2:$A$12,0))&amp;" "&amp;INDEX(Profesores!$C$2:$C$12,MATCH($F25,Profesores!$A$2:$A$12,0)),"")</f>
        <v>Rodríguez Ana</v>
      </c>
      <c r="H25" s="21">
        <v>5</v>
      </c>
      <c r="I25" s="21">
        <v>5</v>
      </c>
      <c r="J25" s="21">
        <v>10</v>
      </c>
      <c r="K25" s="27">
        <f t="shared" si="0"/>
        <v>6.666666666666667</v>
      </c>
      <c r="L25" s="26" t="str">
        <f t="shared" si="1"/>
        <v>Aprobado</v>
      </c>
      <c r="M25" s="22"/>
    </row>
    <row r="26" spans="1:13" x14ac:dyDescent="0.2">
      <c r="A26" s="21" t="s">
        <v>134</v>
      </c>
      <c r="B26" s="26" t="str">
        <f>IFERROR(INDEX(Alumnos!$B$2:$B$31,MATCH($A26,Alumnos!$A$2:$A$31,0))&amp;", "&amp;INDEX(Alumnos!$C$2:$C$31,MATCH($A26,Alumnos!$A$2:$A$31,0)),"")</f>
        <v>Sánchez, Franco</v>
      </c>
      <c r="C26" s="21">
        <v>1</v>
      </c>
      <c r="D26" s="21" t="s">
        <v>88</v>
      </c>
      <c r="E26" s="21" t="s">
        <v>33</v>
      </c>
      <c r="F26" s="21" t="s">
        <v>370</v>
      </c>
      <c r="G26" s="26" t="str">
        <f>IFERROR(INDEX(Profesores!$B$2:$B$12,MATCH($F26,Profesores!$A$2:$A$12,0))&amp;" "&amp;INDEX(Profesores!$C$2:$C$12,MATCH($F26,Profesores!$A$2:$A$12,0)),"")</f>
        <v>Rodríguez Ana</v>
      </c>
      <c r="H26" s="21">
        <v>8</v>
      </c>
      <c r="I26" s="21">
        <v>5</v>
      </c>
      <c r="J26" s="21">
        <v>5</v>
      </c>
      <c r="K26" s="27">
        <f t="shared" si="0"/>
        <v>6</v>
      </c>
      <c r="L26" s="26" t="str">
        <f t="shared" si="1"/>
        <v>Aprobado</v>
      </c>
      <c r="M26" s="22"/>
    </row>
    <row r="27" spans="1:13" x14ac:dyDescent="0.2">
      <c r="A27" s="21" t="s">
        <v>144</v>
      </c>
      <c r="B27" s="26" t="str">
        <f>IFERROR(INDEX(Alumnos!$B$2:$B$31,MATCH($A27,Alumnos!$A$2:$A$31,0))&amp;", "&amp;INDEX(Alumnos!$C$2:$C$31,MATCH($A27,Alumnos!$A$2:$A$31,0)),"")</f>
        <v>Luna, Iván</v>
      </c>
      <c r="C27" s="21">
        <v>1</v>
      </c>
      <c r="D27" s="21" t="s">
        <v>88</v>
      </c>
      <c r="E27" s="21" t="s">
        <v>33</v>
      </c>
      <c r="F27" s="21" t="s">
        <v>370</v>
      </c>
      <c r="G27" s="26" t="str">
        <f>IFERROR(INDEX(Profesores!$B$2:$B$12,MATCH($F27,Profesores!$A$2:$A$12,0))&amp;" "&amp;INDEX(Profesores!$C$2:$C$12,MATCH($F27,Profesores!$A$2:$A$12,0)),"")</f>
        <v>Rodríguez Ana</v>
      </c>
      <c r="H27" s="21">
        <v>7</v>
      </c>
      <c r="I27" s="21">
        <v>9</v>
      </c>
      <c r="J27" s="21">
        <v>4</v>
      </c>
      <c r="K27" s="27">
        <f t="shared" si="0"/>
        <v>6.666666666666667</v>
      </c>
      <c r="L27" s="26" t="str">
        <f t="shared" si="1"/>
        <v>Aprobado</v>
      </c>
      <c r="M27" s="22" t="s">
        <v>426</v>
      </c>
    </row>
    <row r="28" spans="1:13" ht="25.5" x14ac:dyDescent="0.2">
      <c r="A28" s="21" t="s">
        <v>156</v>
      </c>
      <c r="B28" s="26" t="str">
        <f>IFERROR(INDEX(Alumnos!$B$2:$B$31,MATCH($A28,Alumnos!$A$2:$A$31,0))&amp;", "&amp;INDEX(Alumnos!$C$2:$C$31,MATCH($A28,Alumnos!$A$2:$A$31,0)),"")</f>
        <v>Medina, Valentina</v>
      </c>
      <c r="C28" s="21">
        <v>1</v>
      </c>
      <c r="D28" s="21" t="s">
        <v>88</v>
      </c>
      <c r="E28" s="21" t="s">
        <v>33</v>
      </c>
      <c r="F28" s="21" t="s">
        <v>370</v>
      </c>
      <c r="G28" s="26" t="str">
        <f>IFERROR(INDEX(Profesores!$B$2:$B$12,MATCH($F28,Profesores!$A$2:$A$12,0))&amp;" "&amp;INDEX(Profesores!$C$2:$C$12,MATCH($F28,Profesores!$A$2:$A$12,0)),"")</f>
        <v>Rodríguez Ana</v>
      </c>
      <c r="H28" s="21">
        <v>5</v>
      </c>
      <c r="I28" s="21">
        <v>7</v>
      </c>
      <c r="J28" s="21">
        <v>9</v>
      </c>
      <c r="K28" s="27">
        <f t="shared" si="0"/>
        <v>7</v>
      </c>
      <c r="L28" s="26" t="str">
        <f t="shared" si="1"/>
        <v>Aprobado</v>
      </c>
      <c r="M28" s="22" t="s">
        <v>422</v>
      </c>
    </row>
    <row r="29" spans="1:13" x14ac:dyDescent="0.2">
      <c r="A29" s="21" t="s">
        <v>168</v>
      </c>
      <c r="B29" s="26" t="str">
        <f>IFERROR(INDEX(Alumnos!$B$2:$B$31,MATCH($A29,Alumnos!$A$2:$A$31,0))&amp;", "&amp;INDEX(Alumnos!$C$2:$C$31,MATCH($A29,Alumnos!$A$2:$A$31,0)),"")</f>
        <v>Rojas, María</v>
      </c>
      <c r="C29" s="21">
        <v>1</v>
      </c>
      <c r="D29" s="21" t="s">
        <v>88</v>
      </c>
      <c r="E29" s="21" t="s">
        <v>33</v>
      </c>
      <c r="F29" s="21" t="s">
        <v>370</v>
      </c>
      <c r="G29" s="26" t="str">
        <f>IFERROR(INDEX(Profesores!$B$2:$B$12,MATCH($F29,Profesores!$A$2:$A$12,0))&amp;" "&amp;INDEX(Profesores!$C$2:$C$12,MATCH($F29,Profesores!$A$2:$A$12,0)),"")</f>
        <v>Rodríguez Ana</v>
      </c>
      <c r="H29" s="21">
        <v>10</v>
      </c>
      <c r="I29" s="21">
        <v>6</v>
      </c>
      <c r="J29" s="21">
        <v>5</v>
      </c>
      <c r="K29" s="27">
        <f t="shared" si="0"/>
        <v>7</v>
      </c>
      <c r="L29" s="26" t="str">
        <f t="shared" si="1"/>
        <v>Aprobado</v>
      </c>
      <c r="M29" s="22" t="s">
        <v>426</v>
      </c>
    </row>
    <row r="30" spans="1:13" x14ac:dyDescent="0.2">
      <c r="A30" s="21" t="s">
        <v>178</v>
      </c>
      <c r="B30" s="26" t="str">
        <f>IFERROR(INDEX(Alumnos!$B$2:$B$31,MATCH($A30,Alumnos!$A$2:$A$31,0))&amp;", "&amp;INDEX(Alumnos!$C$2:$C$31,MATCH($A30,Alumnos!$A$2:$A$31,0)),"")</f>
        <v>Cabrera, Sofía</v>
      </c>
      <c r="C30" s="21">
        <v>1</v>
      </c>
      <c r="D30" s="21" t="s">
        <v>88</v>
      </c>
      <c r="E30" s="21" t="s">
        <v>33</v>
      </c>
      <c r="F30" s="21" t="s">
        <v>370</v>
      </c>
      <c r="G30" s="26" t="str">
        <f>IFERROR(INDEX(Profesores!$B$2:$B$12,MATCH($F30,Profesores!$A$2:$A$12,0))&amp;" "&amp;INDEX(Profesores!$C$2:$C$12,MATCH($F30,Profesores!$A$2:$A$12,0)),"")</f>
        <v>Rodríguez Ana</v>
      </c>
      <c r="H30" s="21">
        <v>8</v>
      </c>
      <c r="I30" s="21">
        <v>9</v>
      </c>
      <c r="J30" s="21">
        <v>9</v>
      </c>
      <c r="K30" s="27">
        <f t="shared" si="0"/>
        <v>8.6666666666666661</v>
      </c>
      <c r="L30" s="26" t="str">
        <f t="shared" si="1"/>
        <v>Aprobado</v>
      </c>
      <c r="M30" s="22"/>
    </row>
    <row r="31" spans="1:13" ht="25.5" x14ac:dyDescent="0.2">
      <c r="A31" s="21" t="s">
        <v>188</v>
      </c>
      <c r="B31" s="26" t="str">
        <f>IFERROR(INDEX(Alumnos!$B$2:$B$31,MATCH($A31,Alumnos!$A$2:$A$31,0))&amp;", "&amp;INDEX(Alumnos!$C$2:$C$31,MATCH($A31,Alumnos!$A$2:$A$31,0)),"")</f>
        <v>Núñez, Renata</v>
      </c>
      <c r="C31" s="21">
        <v>1</v>
      </c>
      <c r="D31" s="21" t="s">
        <v>88</v>
      </c>
      <c r="E31" s="21" t="s">
        <v>33</v>
      </c>
      <c r="F31" s="21" t="s">
        <v>370</v>
      </c>
      <c r="G31" s="26" t="str">
        <f>IFERROR(INDEX(Profesores!$B$2:$B$12,MATCH($F31,Profesores!$A$2:$A$12,0))&amp;" "&amp;INDEX(Profesores!$C$2:$C$12,MATCH($F31,Profesores!$A$2:$A$12,0)),"")</f>
        <v>Rodríguez Ana</v>
      </c>
      <c r="H31" s="21">
        <v>10</v>
      </c>
      <c r="I31" s="21">
        <v>10</v>
      </c>
      <c r="J31" s="21">
        <v>5</v>
      </c>
      <c r="K31" s="27">
        <f t="shared" si="0"/>
        <v>8.3333333333333339</v>
      </c>
      <c r="L31" s="26" t="str">
        <f t="shared" si="1"/>
        <v>Aprobado</v>
      </c>
      <c r="M31" s="22" t="s">
        <v>422</v>
      </c>
    </row>
    <row r="32" spans="1:13" ht="25.5" x14ac:dyDescent="0.2">
      <c r="A32" s="21" t="s">
        <v>84</v>
      </c>
      <c r="B32" s="26" t="str">
        <f>IFERROR(INDEX(Alumnos!$B$2:$B$31,MATCH($A32,Alumnos!$A$2:$A$31,0))&amp;", "&amp;INDEX(Alumnos!$C$2:$C$31,MATCH($A32,Alumnos!$A$2:$A$31,0)),"")</f>
        <v>Ortiz, María</v>
      </c>
      <c r="C32" s="21">
        <v>1</v>
      </c>
      <c r="D32" s="21" t="s">
        <v>88</v>
      </c>
      <c r="E32" s="21" t="s">
        <v>32</v>
      </c>
      <c r="F32" s="21" t="s">
        <v>374</v>
      </c>
      <c r="G32" s="26" t="str">
        <f>IFERROR(INDEX(Profesores!$B$2:$B$12,MATCH($F32,Profesores!$A$2:$A$12,0))&amp;" "&amp;INDEX(Profesores!$C$2:$C$12,MATCH($F32,Profesores!$A$2:$A$12,0)),"")</f>
        <v>Pérez Diego</v>
      </c>
      <c r="H32" s="21">
        <v>4</v>
      </c>
      <c r="I32" s="21">
        <v>8</v>
      </c>
      <c r="J32" s="21">
        <v>4</v>
      </c>
      <c r="K32" s="27">
        <f t="shared" si="0"/>
        <v>5.333333333333333</v>
      </c>
      <c r="L32" s="26" t="str">
        <f t="shared" si="1"/>
        <v>Desaprobado</v>
      </c>
      <c r="M32" s="22" t="s">
        <v>422</v>
      </c>
    </row>
    <row r="33" spans="1:13" x14ac:dyDescent="0.2">
      <c r="A33" s="21" t="s">
        <v>98</v>
      </c>
      <c r="B33" s="26" t="str">
        <f>IFERROR(INDEX(Alumnos!$B$2:$B$31,MATCH($A33,Alumnos!$A$2:$A$31,0))&amp;", "&amp;INDEX(Alumnos!$C$2:$C$31,MATCH($A33,Alumnos!$A$2:$A$31,0)),"")</f>
        <v>Herrera, Delfina</v>
      </c>
      <c r="C33" s="21">
        <v>1</v>
      </c>
      <c r="D33" s="21" t="s">
        <v>88</v>
      </c>
      <c r="E33" s="21" t="s">
        <v>32</v>
      </c>
      <c r="F33" s="21" t="s">
        <v>374</v>
      </c>
      <c r="G33" s="26" t="str">
        <f>IFERROR(INDEX(Profesores!$B$2:$B$12,MATCH($F33,Profesores!$A$2:$A$12,0))&amp;" "&amp;INDEX(Profesores!$C$2:$C$12,MATCH($F33,Profesores!$A$2:$A$12,0)),"")</f>
        <v>Pérez Diego</v>
      </c>
      <c r="H33" s="21">
        <v>8</v>
      </c>
      <c r="I33" s="21">
        <v>9</v>
      </c>
      <c r="J33" s="21">
        <v>7</v>
      </c>
      <c r="K33" s="27">
        <f t="shared" si="0"/>
        <v>8</v>
      </c>
      <c r="L33" s="26" t="str">
        <f t="shared" si="1"/>
        <v>Aprobado</v>
      </c>
      <c r="M33" s="22" t="s">
        <v>421</v>
      </c>
    </row>
    <row r="34" spans="1:13" x14ac:dyDescent="0.2">
      <c r="A34" s="21" t="s">
        <v>109</v>
      </c>
      <c r="B34" s="26" t="str">
        <f>IFERROR(INDEX(Alumnos!$B$2:$B$31,MATCH($A34,Alumnos!$A$2:$A$31,0))&amp;", "&amp;INDEX(Alumnos!$C$2:$C$31,MATCH($A34,Alumnos!$A$2:$A$31,0)),"")</f>
        <v>Vega, Joaquín</v>
      </c>
      <c r="C34" s="21">
        <v>1</v>
      </c>
      <c r="D34" s="21" t="s">
        <v>88</v>
      </c>
      <c r="E34" s="21" t="s">
        <v>32</v>
      </c>
      <c r="F34" s="21" t="s">
        <v>374</v>
      </c>
      <c r="G34" s="26" t="str">
        <f>IFERROR(INDEX(Profesores!$B$2:$B$12,MATCH($F34,Profesores!$A$2:$A$12,0))&amp;" "&amp;INDEX(Profesores!$C$2:$C$12,MATCH($F34,Profesores!$A$2:$A$12,0)),"")</f>
        <v>Pérez Diego</v>
      </c>
      <c r="H34" s="21">
        <v>9</v>
      </c>
      <c r="I34" s="21">
        <v>5</v>
      </c>
      <c r="J34" s="21">
        <v>4</v>
      </c>
      <c r="K34" s="27">
        <f t="shared" si="0"/>
        <v>6</v>
      </c>
      <c r="L34" s="26" t="str">
        <f t="shared" si="1"/>
        <v>Aprobado</v>
      </c>
      <c r="M34" s="22" t="s">
        <v>426</v>
      </c>
    </row>
    <row r="35" spans="1:13" x14ac:dyDescent="0.2">
      <c r="A35" s="21" t="s">
        <v>121</v>
      </c>
      <c r="B35" s="26" t="str">
        <f>IFERROR(INDEX(Alumnos!$B$2:$B$31,MATCH($A35,Alumnos!$A$2:$A$31,0))&amp;", "&amp;INDEX(Alumnos!$C$2:$C$31,MATCH($A35,Alumnos!$A$2:$A$31,0)),"")</f>
        <v>Silva, Tomás</v>
      </c>
      <c r="C35" s="21">
        <v>1</v>
      </c>
      <c r="D35" s="21" t="s">
        <v>88</v>
      </c>
      <c r="E35" s="21" t="s">
        <v>32</v>
      </c>
      <c r="F35" s="21" t="s">
        <v>374</v>
      </c>
      <c r="G35" s="26" t="str">
        <f>IFERROR(INDEX(Profesores!$B$2:$B$12,MATCH($F35,Profesores!$A$2:$A$12,0))&amp;" "&amp;INDEX(Profesores!$C$2:$C$12,MATCH($F35,Profesores!$A$2:$A$12,0)),"")</f>
        <v>Pérez Diego</v>
      </c>
      <c r="H35" s="21">
        <v>9</v>
      </c>
      <c r="I35" s="21">
        <v>10</v>
      </c>
      <c r="J35" s="21">
        <v>9</v>
      </c>
      <c r="K35" s="27">
        <f t="shared" si="0"/>
        <v>9.3333333333333339</v>
      </c>
      <c r="L35" s="26" t="str">
        <f t="shared" si="1"/>
        <v>Aprobado</v>
      </c>
      <c r="M35" s="22" t="s">
        <v>425</v>
      </c>
    </row>
    <row r="36" spans="1:13" ht="25.5" x14ac:dyDescent="0.2">
      <c r="A36" s="21" t="s">
        <v>134</v>
      </c>
      <c r="B36" s="26" t="str">
        <f>IFERROR(INDEX(Alumnos!$B$2:$B$31,MATCH($A36,Alumnos!$A$2:$A$31,0))&amp;", "&amp;INDEX(Alumnos!$C$2:$C$31,MATCH($A36,Alumnos!$A$2:$A$31,0)),"")</f>
        <v>Sánchez, Franco</v>
      </c>
      <c r="C36" s="21">
        <v>1</v>
      </c>
      <c r="D36" s="21" t="s">
        <v>88</v>
      </c>
      <c r="E36" s="21" t="s">
        <v>32</v>
      </c>
      <c r="F36" s="21" t="s">
        <v>374</v>
      </c>
      <c r="G36" s="26" t="str">
        <f>IFERROR(INDEX(Profesores!$B$2:$B$12,MATCH($F36,Profesores!$A$2:$A$12,0))&amp;" "&amp;INDEX(Profesores!$C$2:$C$12,MATCH($F36,Profesores!$A$2:$A$12,0)),"")</f>
        <v>Pérez Diego</v>
      </c>
      <c r="H36" s="21">
        <v>4</v>
      </c>
      <c r="I36" s="21">
        <v>9</v>
      </c>
      <c r="J36" s="21">
        <v>10</v>
      </c>
      <c r="K36" s="27">
        <f t="shared" si="0"/>
        <v>7.666666666666667</v>
      </c>
      <c r="L36" s="26" t="str">
        <f t="shared" si="1"/>
        <v>Aprobado</v>
      </c>
      <c r="M36" s="22" t="s">
        <v>422</v>
      </c>
    </row>
    <row r="37" spans="1:13" x14ac:dyDescent="0.2">
      <c r="A37" s="21" t="s">
        <v>144</v>
      </c>
      <c r="B37" s="26" t="str">
        <f>IFERROR(INDEX(Alumnos!$B$2:$B$31,MATCH($A37,Alumnos!$A$2:$A$31,0))&amp;", "&amp;INDEX(Alumnos!$C$2:$C$31,MATCH($A37,Alumnos!$A$2:$A$31,0)),"")</f>
        <v>Luna, Iván</v>
      </c>
      <c r="C37" s="21">
        <v>1</v>
      </c>
      <c r="D37" s="21" t="s">
        <v>88</v>
      </c>
      <c r="E37" s="21" t="s">
        <v>32</v>
      </c>
      <c r="F37" s="21" t="s">
        <v>374</v>
      </c>
      <c r="G37" s="26" t="str">
        <f>IFERROR(INDEX(Profesores!$B$2:$B$12,MATCH($F37,Profesores!$A$2:$A$12,0))&amp;" "&amp;INDEX(Profesores!$C$2:$C$12,MATCH($F37,Profesores!$A$2:$A$12,0)),"")</f>
        <v>Pérez Diego</v>
      </c>
      <c r="H37" s="21">
        <v>10</v>
      </c>
      <c r="I37" s="21">
        <v>9</v>
      </c>
      <c r="J37" s="21">
        <v>8</v>
      </c>
      <c r="K37" s="27">
        <f t="shared" si="0"/>
        <v>9</v>
      </c>
      <c r="L37" s="26" t="str">
        <f t="shared" si="1"/>
        <v>Aprobado</v>
      </c>
      <c r="M37" s="22"/>
    </row>
    <row r="38" spans="1:13" x14ac:dyDescent="0.2">
      <c r="A38" s="21" t="s">
        <v>156</v>
      </c>
      <c r="B38" s="26" t="str">
        <f>IFERROR(INDEX(Alumnos!$B$2:$B$31,MATCH($A38,Alumnos!$A$2:$A$31,0))&amp;", "&amp;INDEX(Alumnos!$C$2:$C$31,MATCH($A38,Alumnos!$A$2:$A$31,0)),"")</f>
        <v>Medina, Valentina</v>
      </c>
      <c r="C38" s="21">
        <v>1</v>
      </c>
      <c r="D38" s="21" t="s">
        <v>88</v>
      </c>
      <c r="E38" s="21" t="s">
        <v>32</v>
      </c>
      <c r="F38" s="21" t="s">
        <v>374</v>
      </c>
      <c r="G38" s="26" t="str">
        <f>IFERROR(INDEX(Profesores!$B$2:$B$12,MATCH($F38,Profesores!$A$2:$A$12,0))&amp;" "&amp;INDEX(Profesores!$C$2:$C$12,MATCH($F38,Profesores!$A$2:$A$12,0)),"")</f>
        <v>Pérez Diego</v>
      </c>
      <c r="H38" s="21">
        <v>10</v>
      </c>
      <c r="I38" s="21">
        <v>8</v>
      </c>
      <c r="J38" s="21">
        <v>10</v>
      </c>
      <c r="K38" s="27">
        <f t="shared" si="0"/>
        <v>9.3333333333333339</v>
      </c>
      <c r="L38" s="26" t="str">
        <f t="shared" si="1"/>
        <v>Aprobado</v>
      </c>
      <c r="M38" s="22"/>
    </row>
    <row r="39" spans="1:13" x14ac:dyDescent="0.2">
      <c r="A39" s="21" t="s">
        <v>168</v>
      </c>
      <c r="B39" s="26" t="str">
        <f>IFERROR(INDEX(Alumnos!$B$2:$B$31,MATCH($A39,Alumnos!$A$2:$A$31,0))&amp;", "&amp;INDEX(Alumnos!$C$2:$C$31,MATCH($A39,Alumnos!$A$2:$A$31,0)),"")</f>
        <v>Rojas, María</v>
      </c>
      <c r="C39" s="21">
        <v>1</v>
      </c>
      <c r="D39" s="21" t="s">
        <v>88</v>
      </c>
      <c r="E39" s="21" t="s">
        <v>32</v>
      </c>
      <c r="F39" s="21" t="s">
        <v>374</v>
      </c>
      <c r="G39" s="26" t="str">
        <f>IFERROR(INDEX(Profesores!$B$2:$B$12,MATCH($F39,Profesores!$A$2:$A$12,0))&amp;" "&amp;INDEX(Profesores!$C$2:$C$12,MATCH($F39,Profesores!$A$2:$A$12,0)),"")</f>
        <v>Pérez Diego</v>
      </c>
      <c r="H39" s="21">
        <v>6</v>
      </c>
      <c r="I39" s="21">
        <v>8</v>
      </c>
      <c r="J39" s="21">
        <v>7</v>
      </c>
      <c r="K39" s="27">
        <f t="shared" si="0"/>
        <v>7</v>
      </c>
      <c r="L39" s="26" t="str">
        <f t="shared" si="1"/>
        <v>Aprobado</v>
      </c>
      <c r="M39" s="22" t="s">
        <v>420</v>
      </c>
    </row>
    <row r="40" spans="1:13" x14ac:dyDescent="0.2">
      <c r="A40" s="21" t="s">
        <v>178</v>
      </c>
      <c r="B40" s="26" t="str">
        <f>IFERROR(INDEX(Alumnos!$B$2:$B$31,MATCH($A40,Alumnos!$A$2:$A$31,0))&amp;", "&amp;INDEX(Alumnos!$C$2:$C$31,MATCH($A40,Alumnos!$A$2:$A$31,0)),"")</f>
        <v>Cabrera, Sofía</v>
      </c>
      <c r="C40" s="21">
        <v>1</v>
      </c>
      <c r="D40" s="21" t="s">
        <v>88</v>
      </c>
      <c r="E40" s="21" t="s">
        <v>32</v>
      </c>
      <c r="F40" s="21" t="s">
        <v>374</v>
      </c>
      <c r="G40" s="26" t="str">
        <f>IFERROR(INDEX(Profesores!$B$2:$B$12,MATCH($F40,Profesores!$A$2:$A$12,0))&amp;" "&amp;INDEX(Profesores!$C$2:$C$12,MATCH($F40,Profesores!$A$2:$A$12,0)),"")</f>
        <v>Pérez Diego</v>
      </c>
      <c r="H40" s="21">
        <v>4</v>
      </c>
      <c r="I40" s="21">
        <v>8</v>
      </c>
      <c r="J40" s="21">
        <v>9</v>
      </c>
      <c r="K40" s="27">
        <f t="shared" si="0"/>
        <v>7</v>
      </c>
      <c r="L40" s="26" t="str">
        <f t="shared" si="1"/>
        <v>Aprobado</v>
      </c>
      <c r="M40" s="22" t="s">
        <v>420</v>
      </c>
    </row>
    <row r="41" spans="1:13" x14ac:dyDescent="0.2">
      <c r="A41" s="21" t="s">
        <v>188</v>
      </c>
      <c r="B41" s="26" t="str">
        <f>IFERROR(INDEX(Alumnos!$B$2:$B$31,MATCH($A41,Alumnos!$A$2:$A$31,0))&amp;", "&amp;INDEX(Alumnos!$C$2:$C$31,MATCH($A41,Alumnos!$A$2:$A$31,0)),"")</f>
        <v>Núñez, Renata</v>
      </c>
      <c r="C41" s="21">
        <v>1</v>
      </c>
      <c r="D41" s="21" t="s">
        <v>88</v>
      </c>
      <c r="E41" s="21" t="s">
        <v>32</v>
      </c>
      <c r="F41" s="21" t="s">
        <v>374</v>
      </c>
      <c r="G41" s="26" t="str">
        <f>IFERROR(INDEX(Profesores!$B$2:$B$12,MATCH($F41,Profesores!$A$2:$A$12,0))&amp;" "&amp;INDEX(Profesores!$C$2:$C$12,MATCH($F41,Profesores!$A$2:$A$12,0)),"")</f>
        <v>Pérez Diego</v>
      </c>
      <c r="H41" s="21">
        <v>4</v>
      </c>
      <c r="I41" s="21">
        <v>10</v>
      </c>
      <c r="J41" s="21">
        <v>7</v>
      </c>
      <c r="K41" s="27">
        <f t="shared" si="0"/>
        <v>7</v>
      </c>
      <c r="L41" s="26" t="str">
        <f t="shared" si="1"/>
        <v>Aprobado</v>
      </c>
      <c r="M41" s="22" t="s">
        <v>424</v>
      </c>
    </row>
    <row r="42" spans="1:13" x14ac:dyDescent="0.2">
      <c r="A42" s="21" t="s">
        <v>84</v>
      </c>
      <c r="B42" s="26" t="str">
        <f>IFERROR(INDEX(Alumnos!$B$2:$B$31,MATCH($A42,Alumnos!$A$2:$A$31,0))&amp;", "&amp;INDEX(Alumnos!$C$2:$C$31,MATCH($A42,Alumnos!$A$2:$A$31,0)),"")</f>
        <v>Ortiz, María</v>
      </c>
      <c r="C42" s="21">
        <v>1</v>
      </c>
      <c r="D42" s="21" t="s">
        <v>88</v>
      </c>
      <c r="E42" s="21" t="s">
        <v>24</v>
      </c>
      <c r="F42" s="21" t="s">
        <v>378</v>
      </c>
      <c r="G42" s="26" t="str">
        <f>IFERROR(INDEX(Profesores!$B$2:$B$12,MATCH($F42,Profesores!$A$2:$A$12,0))&amp;" "&amp;INDEX(Profesores!$C$2:$C$12,MATCH($F42,Profesores!$A$2:$A$12,0)),"")</f>
        <v>López Carla</v>
      </c>
      <c r="H42" s="21">
        <v>4</v>
      </c>
      <c r="I42" s="21">
        <v>7</v>
      </c>
      <c r="J42" s="21">
        <v>6</v>
      </c>
      <c r="K42" s="27">
        <f t="shared" si="0"/>
        <v>5.666666666666667</v>
      </c>
      <c r="L42" s="26" t="str">
        <f t="shared" si="1"/>
        <v>Desaprobado</v>
      </c>
      <c r="M42" s="22" t="s">
        <v>424</v>
      </c>
    </row>
    <row r="43" spans="1:13" x14ac:dyDescent="0.2">
      <c r="A43" s="21" t="s">
        <v>98</v>
      </c>
      <c r="B43" s="26" t="str">
        <f>IFERROR(INDEX(Alumnos!$B$2:$B$31,MATCH($A43,Alumnos!$A$2:$A$31,0))&amp;", "&amp;INDEX(Alumnos!$C$2:$C$31,MATCH($A43,Alumnos!$A$2:$A$31,0)),"")</f>
        <v>Herrera, Delfina</v>
      </c>
      <c r="C43" s="21">
        <v>1</v>
      </c>
      <c r="D43" s="21" t="s">
        <v>88</v>
      </c>
      <c r="E43" s="21" t="s">
        <v>24</v>
      </c>
      <c r="F43" s="21" t="s">
        <v>378</v>
      </c>
      <c r="G43" s="26" t="str">
        <f>IFERROR(INDEX(Profesores!$B$2:$B$12,MATCH($F43,Profesores!$A$2:$A$12,0))&amp;" "&amp;INDEX(Profesores!$C$2:$C$12,MATCH($F43,Profesores!$A$2:$A$12,0)),"")</f>
        <v>López Carla</v>
      </c>
      <c r="H43" s="21">
        <v>9</v>
      </c>
      <c r="I43" s="21">
        <v>5</v>
      </c>
      <c r="J43" s="21">
        <v>7</v>
      </c>
      <c r="K43" s="27">
        <f t="shared" si="0"/>
        <v>7</v>
      </c>
      <c r="L43" s="26" t="str">
        <f t="shared" si="1"/>
        <v>Aprobado</v>
      </c>
      <c r="M43" s="22"/>
    </row>
    <row r="44" spans="1:13" ht="25.5" x14ac:dyDescent="0.2">
      <c r="A44" s="21" t="s">
        <v>109</v>
      </c>
      <c r="B44" s="26" t="str">
        <f>IFERROR(INDEX(Alumnos!$B$2:$B$31,MATCH($A44,Alumnos!$A$2:$A$31,0))&amp;", "&amp;INDEX(Alumnos!$C$2:$C$31,MATCH($A44,Alumnos!$A$2:$A$31,0)),"")</f>
        <v>Vega, Joaquín</v>
      </c>
      <c r="C44" s="21">
        <v>1</v>
      </c>
      <c r="D44" s="21" t="s">
        <v>88</v>
      </c>
      <c r="E44" s="21" t="s">
        <v>24</v>
      </c>
      <c r="F44" s="21" t="s">
        <v>378</v>
      </c>
      <c r="G44" s="26" t="str">
        <f>IFERROR(INDEX(Profesores!$B$2:$B$12,MATCH($F44,Profesores!$A$2:$A$12,0))&amp;" "&amp;INDEX(Profesores!$C$2:$C$12,MATCH($F44,Profesores!$A$2:$A$12,0)),"")</f>
        <v>López Carla</v>
      </c>
      <c r="H44" s="21">
        <v>9</v>
      </c>
      <c r="I44" s="21">
        <v>8</v>
      </c>
      <c r="J44" s="21">
        <v>9</v>
      </c>
      <c r="K44" s="27">
        <f t="shared" si="0"/>
        <v>8.6666666666666661</v>
      </c>
      <c r="L44" s="26" t="str">
        <f t="shared" si="1"/>
        <v>Aprobado</v>
      </c>
      <c r="M44" s="22" t="s">
        <v>422</v>
      </c>
    </row>
    <row r="45" spans="1:13" x14ac:dyDescent="0.2">
      <c r="A45" s="21" t="s">
        <v>121</v>
      </c>
      <c r="B45" s="26" t="str">
        <f>IFERROR(INDEX(Alumnos!$B$2:$B$31,MATCH($A45,Alumnos!$A$2:$A$31,0))&amp;", "&amp;INDEX(Alumnos!$C$2:$C$31,MATCH($A45,Alumnos!$A$2:$A$31,0)),"")</f>
        <v>Silva, Tomás</v>
      </c>
      <c r="C45" s="21">
        <v>1</v>
      </c>
      <c r="D45" s="21" t="s">
        <v>88</v>
      </c>
      <c r="E45" s="21" t="s">
        <v>24</v>
      </c>
      <c r="F45" s="21" t="s">
        <v>378</v>
      </c>
      <c r="G45" s="26" t="str">
        <f>IFERROR(INDEX(Profesores!$B$2:$B$12,MATCH($F45,Profesores!$A$2:$A$12,0))&amp;" "&amp;INDEX(Profesores!$C$2:$C$12,MATCH($F45,Profesores!$A$2:$A$12,0)),"")</f>
        <v>López Carla</v>
      </c>
      <c r="H45" s="21">
        <v>8</v>
      </c>
      <c r="I45" s="21">
        <v>10</v>
      </c>
      <c r="J45" s="21">
        <v>8</v>
      </c>
      <c r="K45" s="27">
        <f t="shared" si="0"/>
        <v>8.6666666666666661</v>
      </c>
      <c r="L45" s="26" t="str">
        <f t="shared" si="1"/>
        <v>Aprobado</v>
      </c>
      <c r="M45" s="22" t="s">
        <v>424</v>
      </c>
    </row>
    <row r="46" spans="1:13" x14ac:dyDescent="0.2">
      <c r="A46" s="21" t="s">
        <v>134</v>
      </c>
      <c r="B46" s="26" t="str">
        <f>IFERROR(INDEX(Alumnos!$B$2:$B$31,MATCH($A46,Alumnos!$A$2:$A$31,0))&amp;", "&amp;INDEX(Alumnos!$C$2:$C$31,MATCH($A46,Alumnos!$A$2:$A$31,0)),"")</f>
        <v>Sánchez, Franco</v>
      </c>
      <c r="C46" s="21">
        <v>1</v>
      </c>
      <c r="D46" s="21" t="s">
        <v>88</v>
      </c>
      <c r="E46" s="21" t="s">
        <v>24</v>
      </c>
      <c r="F46" s="21" t="s">
        <v>378</v>
      </c>
      <c r="G46" s="26" t="str">
        <f>IFERROR(INDEX(Profesores!$B$2:$B$12,MATCH($F46,Profesores!$A$2:$A$12,0))&amp;" "&amp;INDEX(Profesores!$C$2:$C$12,MATCH($F46,Profesores!$A$2:$A$12,0)),"")</f>
        <v>López Carla</v>
      </c>
      <c r="H46" s="21">
        <v>7</v>
      </c>
      <c r="I46" s="21">
        <v>7</v>
      </c>
      <c r="J46" s="21">
        <v>10</v>
      </c>
      <c r="K46" s="27">
        <f t="shared" si="0"/>
        <v>8</v>
      </c>
      <c r="L46" s="26" t="str">
        <f t="shared" si="1"/>
        <v>Aprobado</v>
      </c>
      <c r="M46" s="22" t="s">
        <v>426</v>
      </c>
    </row>
    <row r="47" spans="1:13" x14ac:dyDescent="0.2">
      <c r="A47" s="21" t="s">
        <v>144</v>
      </c>
      <c r="B47" s="26" t="str">
        <f>IFERROR(INDEX(Alumnos!$B$2:$B$31,MATCH($A47,Alumnos!$A$2:$A$31,0))&amp;", "&amp;INDEX(Alumnos!$C$2:$C$31,MATCH($A47,Alumnos!$A$2:$A$31,0)),"")</f>
        <v>Luna, Iván</v>
      </c>
      <c r="C47" s="21">
        <v>1</v>
      </c>
      <c r="D47" s="21" t="s">
        <v>88</v>
      </c>
      <c r="E47" s="21" t="s">
        <v>24</v>
      </c>
      <c r="F47" s="21" t="s">
        <v>378</v>
      </c>
      <c r="G47" s="26" t="str">
        <f>IFERROR(INDEX(Profesores!$B$2:$B$12,MATCH($F47,Profesores!$A$2:$A$12,0))&amp;" "&amp;INDEX(Profesores!$C$2:$C$12,MATCH($F47,Profesores!$A$2:$A$12,0)),"")</f>
        <v>López Carla</v>
      </c>
      <c r="H47" s="21">
        <v>6</v>
      </c>
      <c r="I47" s="21">
        <v>6</v>
      </c>
      <c r="J47" s="21">
        <v>10</v>
      </c>
      <c r="K47" s="27">
        <f t="shared" si="0"/>
        <v>7.333333333333333</v>
      </c>
      <c r="L47" s="26" t="str">
        <f t="shared" si="1"/>
        <v>Aprobado</v>
      </c>
      <c r="M47" s="22" t="s">
        <v>425</v>
      </c>
    </row>
    <row r="48" spans="1:13" x14ac:dyDescent="0.2">
      <c r="A48" s="21" t="s">
        <v>156</v>
      </c>
      <c r="B48" s="26" t="str">
        <f>IFERROR(INDEX(Alumnos!$B$2:$B$31,MATCH($A48,Alumnos!$A$2:$A$31,0))&amp;", "&amp;INDEX(Alumnos!$C$2:$C$31,MATCH($A48,Alumnos!$A$2:$A$31,0)),"")</f>
        <v>Medina, Valentina</v>
      </c>
      <c r="C48" s="21">
        <v>1</v>
      </c>
      <c r="D48" s="21" t="s">
        <v>88</v>
      </c>
      <c r="E48" s="21" t="s">
        <v>24</v>
      </c>
      <c r="F48" s="21" t="s">
        <v>378</v>
      </c>
      <c r="G48" s="26" t="str">
        <f>IFERROR(INDEX(Profesores!$B$2:$B$12,MATCH($F48,Profesores!$A$2:$A$12,0))&amp;" "&amp;INDEX(Profesores!$C$2:$C$12,MATCH($F48,Profesores!$A$2:$A$12,0)),"")</f>
        <v>López Carla</v>
      </c>
      <c r="H48" s="21">
        <v>10</v>
      </c>
      <c r="I48" s="21">
        <v>4</v>
      </c>
      <c r="J48" s="21">
        <v>6</v>
      </c>
      <c r="K48" s="27">
        <f t="shared" si="0"/>
        <v>6.666666666666667</v>
      </c>
      <c r="L48" s="26" t="str">
        <f t="shared" si="1"/>
        <v>Aprobado</v>
      </c>
      <c r="M48" s="22" t="s">
        <v>424</v>
      </c>
    </row>
    <row r="49" spans="1:13" x14ac:dyDescent="0.2">
      <c r="A49" s="21" t="s">
        <v>168</v>
      </c>
      <c r="B49" s="26" t="str">
        <f>IFERROR(INDEX(Alumnos!$B$2:$B$31,MATCH($A49,Alumnos!$A$2:$A$31,0))&amp;", "&amp;INDEX(Alumnos!$C$2:$C$31,MATCH($A49,Alumnos!$A$2:$A$31,0)),"")</f>
        <v>Rojas, María</v>
      </c>
      <c r="C49" s="21">
        <v>1</v>
      </c>
      <c r="D49" s="21" t="s">
        <v>88</v>
      </c>
      <c r="E49" s="21" t="s">
        <v>24</v>
      </c>
      <c r="F49" s="21" t="s">
        <v>378</v>
      </c>
      <c r="G49" s="26" t="str">
        <f>IFERROR(INDEX(Profesores!$B$2:$B$12,MATCH($F49,Profesores!$A$2:$A$12,0))&amp;" "&amp;INDEX(Profesores!$C$2:$C$12,MATCH($F49,Profesores!$A$2:$A$12,0)),"")</f>
        <v>López Carla</v>
      </c>
      <c r="H49" s="21">
        <v>5</v>
      </c>
      <c r="I49" s="21">
        <v>10</v>
      </c>
      <c r="J49" s="21">
        <v>7</v>
      </c>
      <c r="K49" s="27">
        <f t="shared" si="0"/>
        <v>7.333333333333333</v>
      </c>
      <c r="L49" s="26" t="str">
        <f t="shared" si="1"/>
        <v>Aprobado</v>
      </c>
      <c r="M49" s="22" t="s">
        <v>426</v>
      </c>
    </row>
    <row r="50" spans="1:13" x14ac:dyDescent="0.2">
      <c r="A50" s="21" t="s">
        <v>178</v>
      </c>
      <c r="B50" s="26" t="str">
        <f>IFERROR(INDEX(Alumnos!$B$2:$B$31,MATCH($A50,Alumnos!$A$2:$A$31,0))&amp;", "&amp;INDEX(Alumnos!$C$2:$C$31,MATCH($A50,Alumnos!$A$2:$A$31,0)),"")</f>
        <v>Cabrera, Sofía</v>
      </c>
      <c r="C50" s="21">
        <v>1</v>
      </c>
      <c r="D50" s="21" t="s">
        <v>88</v>
      </c>
      <c r="E50" s="21" t="s">
        <v>24</v>
      </c>
      <c r="F50" s="21" t="s">
        <v>378</v>
      </c>
      <c r="G50" s="26" t="str">
        <f>IFERROR(INDEX(Profesores!$B$2:$B$12,MATCH($F50,Profesores!$A$2:$A$12,0))&amp;" "&amp;INDEX(Profesores!$C$2:$C$12,MATCH($F50,Profesores!$A$2:$A$12,0)),"")</f>
        <v>López Carla</v>
      </c>
      <c r="H50" s="21">
        <v>8</v>
      </c>
      <c r="I50" s="21">
        <v>9</v>
      </c>
      <c r="J50" s="21">
        <v>7</v>
      </c>
      <c r="K50" s="27">
        <f t="shared" si="0"/>
        <v>8</v>
      </c>
      <c r="L50" s="26" t="str">
        <f t="shared" si="1"/>
        <v>Aprobado</v>
      </c>
      <c r="M50" s="22" t="s">
        <v>420</v>
      </c>
    </row>
    <row r="51" spans="1:13" x14ac:dyDescent="0.2">
      <c r="A51" s="21" t="s">
        <v>188</v>
      </c>
      <c r="B51" s="26" t="str">
        <f>IFERROR(INDEX(Alumnos!$B$2:$B$31,MATCH($A51,Alumnos!$A$2:$A$31,0))&amp;", "&amp;INDEX(Alumnos!$C$2:$C$31,MATCH($A51,Alumnos!$A$2:$A$31,0)),"")</f>
        <v>Núñez, Renata</v>
      </c>
      <c r="C51" s="21">
        <v>1</v>
      </c>
      <c r="D51" s="21" t="s">
        <v>88</v>
      </c>
      <c r="E51" s="21" t="s">
        <v>24</v>
      </c>
      <c r="F51" s="21" t="s">
        <v>378</v>
      </c>
      <c r="G51" s="26" t="str">
        <f>IFERROR(INDEX(Profesores!$B$2:$B$12,MATCH($F51,Profesores!$A$2:$A$12,0))&amp;" "&amp;INDEX(Profesores!$C$2:$C$12,MATCH($F51,Profesores!$A$2:$A$12,0)),"")</f>
        <v>López Carla</v>
      </c>
      <c r="H51" s="21">
        <v>4</v>
      </c>
      <c r="I51" s="21">
        <v>7</v>
      </c>
      <c r="J51" s="21">
        <v>10</v>
      </c>
      <c r="K51" s="27">
        <f t="shared" si="0"/>
        <v>7</v>
      </c>
      <c r="L51" s="26" t="str">
        <f t="shared" si="1"/>
        <v>Aprobado</v>
      </c>
      <c r="M51" s="22" t="s">
        <v>420</v>
      </c>
    </row>
    <row r="52" spans="1:13" x14ac:dyDescent="0.2">
      <c r="A52" s="21" t="s">
        <v>84</v>
      </c>
      <c r="B52" s="26" t="str">
        <f>IFERROR(INDEX(Alumnos!$B$2:$B$31,MATCH($A52,Alumnos!$A$2:$A$31,0))&amp;", "&amp;INDEX(Alumnos!$C$2:$C$31,MATCH($A52,Alumnos!$A$2:$A$31,0)),"")</f>
        <v>Ortiz, María</v>
      </c>
      <c r="C52" s="21">
        <v>1</v>
      </c>
      <c r="D52" s="21" t="s">
        <v>88</v>
      </c>
      <c r="E52" s="21" t="s">
        <v>34</v>
      </c>
      <c r="F52" s="21" t="s">
        <v>383</v>
      </c>
      <c r="G52" s="26" t="str">
        <f>IFERROR(INDEX(Profesores!$B$2:$B$12,MATCH($F52,Profesores!$A$2:$A$12,0))&amp;" "&amp;INDEX(Profesores!$C$2:$C$12,MATCH($F52,Profesores!$A$2:$A$12,0)),"")</f>
        <v>Martínez Julián</v>
      </c>
      <c r="H52" s="21">
        <v>5</v>
      </c>
      <c r="I52" s="21">
        <v>7</v>
      </c>
      <c r="J52" s="21">
        <v>5</v>
      </c>
      <c r="K52" s="27">
        <f t="shared" si="0"/>
        <v>5.666666666666667</v>
      </c>
      <c r="L52" s="26" t="str">
        <f t="shared" si="1"/>
        <v>Desaprobado</v>
      </c>
      <c r="M52" s="22" t="s">
        <v>420</v>
      </c>
    </row>
    <row r="53" spans="1:13" ht="25.5" x14ac:dyDescent="0.2">
      <c r="A53" s="21" t="s">
        <v>98</v>
      </c>
      <c r="B53" s="26" t="str">
        <f>IFERROR(INDEX(Alumnos!$B$2:$B$31,MATCH($A53,Alumnos!$A$2:$A$31,0))&amp;", "&amp;INDEX(Alumnos!$C$2:$C$31,MATCH($A53,Alumnos!$A$2:$A$31,0)),"")</f>
        <v>Herrera, Delfina</v>
      </c>
      <c r="C53" s="21">
        <v>1</v>
      </c>
      <c r="D53" s="21" t="s">
        <v>88</v>
      </c>
      <c r="E53" s="21" t="s">
        <v>34</v>
      </c>
      <c r="F53" s="21" t="s">
        <v>383</v>
      </c>
      <c r="G53" s="26" t="str">
        <f>IFERROR(INDEX(Profesores!$B$2:$B$12,MATCH($F53,Profesores!$A$2:$A$12,0))&amp;" "&amp;INDEX(Profesores!$C$2:$C$12,MATCH($F53,Profesores!$A$2:$A$12,0)),"")</f>
        <v>Martínez Julián</v>
      </c>
      <c r="H53" s="21">
        <v>10</v>
      </c>
      <c r="I53" s="21">
        <v>6</v>
      </c>
      <c r="J53" s="21">
        <v>6</v>
      </c>
      <c r="K53" s="27">
        <f t="shared" si="0"/>
        <v>7.333333333333333</v>
      </c>
      <c r="L53" s="26" t="str">
        <f t="shared" si="1"/>
        <v>Aprobado</v>
      </c>
      <c r="M53" s="22" t="s">
        <v>422</v>
      </c>
    </row>
    <row r="54" spans="1:13" x14ac:dyDescent="0.2">
      <c r="A54" s="21" t="s">
        <v>109</v>
      </c>
      <c r="B54" s="26" t="str">
        <f>IFERROR(INDEX(Alumnos!$B$2:$B$31,MATCH($A54,Alumnos!$A$2:$A$31,0))&amp;", "&amp;INDEX(Alumnos!$C$2:$C$31,MATCH($A54,Alumnos!$A$2:$A$31,0)),"")</f>
        <v>Vega, Joaquín</v>
      </c>
      <c r="C54" s="21">
        <v>1</v>
      </c>
      <c r="D54" s="21" t="s">
        <v>88</v>
      </c>
      <c r="E54" s="21" t="s">
        <v>34</v>
      </c>
      <c r="F54" s="21" t="s">
        <v>383</v>
      </c>
      <c r="G54" s="26" t="str">
        <f>IFERROR(INDEX(Profesores!$B$2:$B$12,MATCH($F54,Profesores!$A$2:$A$12,0))&amp;" "&amp;INDEX(Profesores!$C$2:$C$12,MATCH($F54,Profesores!$A$2:$A$12,0)),"")</f>
        <v>Martínez Julián</v>
      </c>
      <c r="H54" s="21">
        <v>8</v>
      </c>
      <c r="I54" s="21">
        <v>9</v>
      </c>
      <c r="J54" s="21">
        <v>6</v>
      </c>
      <c r="K54" s="27">
        <f t="shared" si="0"/>
        <v>7.666666666666667</v>
      </c>
      <c r="L54" s="26" t="str">
        <f t="shared" si="1"/>
        <v>Aprobado</v>
      </c>
      <c r="M54" s="22" t="s">
        <v>423</v>
      </c>
    </row>
    <row r="55" spans="1:13" x14ac:dyDescent="0.2">
      <c r="A55" s="21" t="s">
        <v>121</v>
      </c>
      <c r="B55" s="26" t="str">
        <f>IFERROR(INDEX(Alumnos!$B$2:$B$31,MATCH($A55,Alumnos!$A$2:$A$31,0))&amp;", "&amp;INDEX(Alumnos!$C$2:$C$31,MATCH($A55,Alumnos!$A$2:$A$31,0)),"")</f>
        <v>Silva, Tomás</v>
      </c>
      <c r="C55" s="21">
        <v>1</v>
      </c>
      <c r="D55" s="21" t="s">
        <v>88</v>
      </c>
      <c r="E55" s="21" t="s">
        <v>34</v>
      </c>
      <c r="F55" s="21" t="s">
        <v>383</v>
      </c>
      <c r="G55" s="26" t="str">
        <f>IFERROR(INDEX(Profesores!$B$2:$B$12,MATCH($F55,Profesores!$A$2:$A$12,0))&amp;" "&amp;INDEX(Profesores!$C$2:$C$12,MATCH($F55,Profesores!$A$2:$A$12,0)),"")</f>
        <v>Martínez Julián</v>
      </c>
      <c r="H55" s="21">
        <v>4</v>
      </c>
      <c r="I55" s="21">
        <v>8</v>
      </c>
      <c r="J55" s="21">
        <v>5</v>
      </c>
      <c r="K55" s="27">
        <f t="shared" si="0"/>
        <v>5.666666666666667</v>
      </c>
      <c r="L55" s="26" t="str">
        <f t="shared" si="1"/>
        <v>Desaprobado</v>
      </c>
      <c r="M55" s="22"/>
    </row>
    <row r="56" spans="1:13" x14ac:dyDescent="0.2">
      <c r="A56" s="21" t="s">
        <v>134</v>
      </c>
      <c r="B56" s="26" t="str">
        <f>IFERROR(INDEX(Alumnos!$B$2:$B$31,MATCH($A56,Alumnos!$A$2:$A$31,0))&amp;", "&amp;INDEX(Alumnos!$C$2:$C$31,MATCH($A56,Alumnos!$A$2:$A$31,0)),"")</f>
        <v>Sánchez, Franco</v>
      </c>
      <c r="C56" s="21">
        <v>1</v>
      </c>
      <c r="D56" s="21" t="s">
        <v>88</v>
      </c>
      <c r="E56" s="21" t="s">
        <v>34</v>
      </c>
      <c r="F56" s="21" t="s">
        <v>383</v>
      </c>
      <c r="G56" s="26" t="str">
        <f>IFERROR(INDEX(Profesores!$B$2:$B$12,MATCH($F56,Profesores!$A$2:$A$12,0))&amp;" "&amp;INDEX(Profesores!$C$2:$C$12,MATCH($F56,Profesores!$A$2:$A$12,0)),"")</f>
        <v>Martínez Julián</v>
      </c>
      <c r="H56" s="21">
        <v>5</v>
      </c>
      <c r="I56" s="21">
        <v>9</v>
      </c>
      <c r="J56" s="21">
        <v>7</v>
      </c>
      <c r="K56" s="27">
        <f t="shared" si="0"/>
        <v>7</v>
      </c>
      <c r="L56" s="26" t="str">
        <f t="shared" si="1"/>
        <v>Aprobado</v>
      </c>
      <c r="M56" s="22" t="s">
        <v>424</v>
      </c>
    </row>
    <row r="57" spans="1:13" x14ac:dyDescent="0.2">
      <c r="A57" s="21" t="s">
        <v>144</v>
      </c>
      <c r="B57" s="26" t="str">
        <f>IFERROR(INDEX(Alumnos!$B$2:$B$31,MATCH($A57,Alumnos!$A$2:$A$31,0))&amp;", "&amp;INDEX(Alumnos!$C$2:$C$31,MATCH($A57,Alumnos!$A$2:$A$31,0)),"")</f>
        <v>Luna, Iván</v>
      </c>
      <c r="C57" s="21">
        <v>1</v>
      </c>
      <c r="D57" s="21" t="s">
        <v>88</v>
      </c>
      <c r="E57" s="21" t="s">
        <v>34</v>
      </c>
      <c r="F57" s="21" t="s">
        <v>383</v>
      </c>
      <c r="G57" s="26" t="str">
        <f>IFERROR(INDEX(Profesores!$B$2:$B$12,MATCH($F57,Profesores!$A$2:$A$12,0))&amp;" "&amp;INDEX(Profesores!$C$2:$C$12,MATCH($F57,Profesores!$A$2:$A$12,0)),"")</f>
        <v>Martínez Julián</v>
      </c>
      <c r="H57" s="21">
        <v>8</v>
      </c>
      <c r="I57" s="21">
        <v>10</v>
      </c>
      <c r="J57" s="21">
        <v>5</v>
      </c>
      <c r="K57" s="27">
        <f t="shared" si="0"/>
        <v>7.666666666666667</v>
      </c>
      <c r="L57" s="26" t="str">
        <f t="shared" si="1"/>
        <v>Aprobado</v>
      </c>
      <c r="M57" s="22" t="s">
        <v>424</v>
      </c>
    </row>
    <row r="58" spans="1:13" x14ac:dyDescent="0.2">
      <c r="A58" s="21" t="s">
        <v>156</v>
      </c>
      <c r="B58" s="26" t="str">
        <f>IFERROR(INDEX(Alumnos!$B$2:$B$31,MATCH($A58,Alumnos!$A$2:$A$31,0))&amp;", "&amp;INDEX(Alumnos!$C$2:$C$31,MATCH($A58,Alumnos!$A$2:$A$31,0)),"")</f>
        <v>Medina, Valentina</v>
      </c>
      <c r="C58" s="21">
        <v>1</v>
      </c>
      <c r="D58" s="21" t="s">
        <v>88</v>
      </c>
      <c r="E58" s="21" t="s">
        <v>34</v>
      </c>
      <c r="F58" s="21" t="s">
        <v>383</v>
      </c>
      <c r="G58" s="26" t="str">
        <f>IFERROR(INDEX(Profesores!$B$2:$B$12,MATCH($F58,Profesores!$A$2:$A$12,0))&amp;" "&amp;INDEX(Profesores!$C$2:$C$12,MATCH($F58,Profesores!$A$2:$A$12,0)),"")</f>
        <v>Martínez Julián</v>
      </c>
      <c r="H58" s="21">
        <v>9</v>
      </c>
      <c r="I58" s="21">
        <v>9</v>
      </c>
      <c r="J58" s="21">
        <v>7</v>
      </c>
      <c r="K58" s="27">
        <f t="shared" si="0"/>
        <v>8.3333333333333339</v>
      </c>
      <c r="L58" s="26" t="str">
        <f t="shared" si="1"/>
        <v>Aprobado</v>
      </c>
      <c r="M58" s="22" t="s">
        <v>424</v>
      </c>
    </row>
    <row r="59" spans="1:13" ht="25.5" x14ac:dyDescent="0.2">
      <c r="A59" s="21" t="s">
        <v>168</v>
      </c>
      <c r="B59" s="26" t="str">
        <f>IFERROR(INDEX(Alumnos!$B$2:$B$31,MATCH($A59,Alumnos!$A$2:$A$31,0))&amp;", "&amp;INDEX(Alumnos!$C$2:$C$31,MATCH($A59,Alumnos!$A$2:$A$31,0)),"")</f>
        <v>Rojas, María</v>
      </c>
      <c r="C59" s="21">
        <v>1</v>
      </c>
      <c r="D59" s="21" t="s">
        <v>88</v>
      </c>
      <c r="E59" s="21" t="s">
        <v>34</v>
      </c>
      <c r="F59" s="21" t="s">
        <v>383</v>
      </c>
      <c r="G59" s="26" t="str">
        <f>IFERROR(INDEX(Profesores!$B$2:$B$12,MATCH($F59,Profesores!$A$2:$A$12,0))&amp;" "&amp;INDEX(Profesores!$C$2:$C$12,MATCH($F59,Profesores!$A$2:$A$12,0)),"")</f>
        <v>Martínez Julián</v>
      </c>
      <c r="H59" s="21">
        <v>10</v>
      </c>
      <c r="I59" s="21">
        <v>4</v>
      </c>
      <c r="J59" s="21">
        <v>4</v>
      </c>
      <c r="K59" s="27">
        <f t="shared" si="0"/>
        <v>6</v>
      </c>
      <c r="L59" s="26" t="str">
        <f t="shared" si="1"/>
        <v>Aprobado</v>
      </c>
      <c r="M59" s="22" t="s">
        <v>422</v>
      </c>
    </row>
    <row r="60" spans="1:13" x14ac:dyDescent="0.2">
      <c r="A60" s="21" t="s">
        <v>178</v>
      </c>
      <c r="B60" s="26" t="str">
        <f>IFERROR(INDEX(Alumnos!$B$2:$B$31,MATCH($A60,Alumnos!$A$2:$A$31,0))&amp;", "&amp;INDEX(Alumnos!$C$2:$C$31,MATCH($A60,Alumnos!$A$2:$A$31,0)),"")</f>
        <v>Cabrera, Sofía</v>
      </c>
      <c r="C60" s="21">
        <v>1</v>
      </c>
      <c r="D60" s="21" t="s">
        <v>88</v>
      </c>
      <c r="E60" s="21" t="s">
        <v>34</v>
      </c>
      <c r="F60" s="21" t="s">
        <v>383</v>
      </c>
      <c r="G60" s="26" t="str">
        <f>IFERROR(INDEX(Profesores!$B$2:$B$12,MATCH($F60,Profesores!$A$2:$A$12,0))&amp;" "&amp;INDEX(Profesores!$C$2:$C$12,MATCH($F60,Profesores!$A$2:$A$12,0)),"")</f>
        <v>Martínez Julián</v>
      </c>
      <c r="H60" s="21">
        <v>5</v>
      </c>
      <c r="I60" s="21">
        <v>7</v>
      </c>
      <c r="J60" s="21">
        <v>9</v>
      </c>
      <c r="K60" s="27">
        <f t="shared" si="0"/>
        <v>7</v>
      </c>
      <c r="L60" s="26" t="str">
        <f t="shared" si="1"/>
        <v>Aprobado</v>
      </c>
      <c r="M60" s="22" t="s">
        <v>425</v>
      </c>
    </row>
    <row r="61" spans="1:13" x14ac:dyDescent="0.2">
      <c r="A61" s="21" t="s">
        <v>188</v>
      </c>
      <c r="B61" s="26" t="str">
        <f>IFERROR(INDEX(Alumnos!$B$2:$B$31,MATCH($A61,Alumnos!$A$2:$A$31,0))&amp;", "&amp;INDEX(Alumnos!$C$2:$C$31,MATCH($A61,Alumnos!$A$2:$A$31,0)),"")</f>
        <v>Núñez, Renata</v>
      </c>
      <c r="C61" s="21">
        <v>1</v>
      </c>
      <c r="D61" s="21" t="s">
        <v>88</v>
      </c>
      <c r="E61" s="21" t="s">
        <v>34</v>
      </c>
      <c r="F61" s="21" t="s">
        <v>383</v>
      </c>
      <c r="G61" s="26" t="str">
        <f>IFERROR(INDEX(Profesores!$B$2:$B$12,MATCH($F61,Profesores!$A$2:$A$12,0))&amp;" "&amp;INDEX(Profesores!$C$2:$C$12,MATCH($F61,Profesores!$A$2:$A$12,0)),"")</f>
        <v>Martínez Julián</v>
      </c>
      <c r="H61" s="21">
        <v>6</v>
      </c>
      <c r="I61" s="21">
        <v>9</v>
      </c>
      <c r="J61" s="21">
        <v>8</v>
      </c>
      <c r="K61" s="27">
        <f t="shared" si="0"/>
        <v>7.666666666666667</v>
      </c>
      <c r="L61" s="26" t="str">
        <f t="shared" si="1"/>
        <v>Aprobado</v>
      </c>
      <c r="M61" s="22" t="s">
        <v>420</v>
      </c>
    </row>
    <row r="62" spans="1:13" x14ac:dyDescent="0.2">
      <c r="A62" s="21" t="s">
        <v>84</v>
      </c>
      <c r="B62" s="26" t="str">
        <f>IFERROR(INDEX(Alumnos!$B$2:$B$31,MATCH($A62,Alumnos!$A$2:$A$31,0))&amp;", "&amp;INDEX(Alumnos!$C$2:$C$31,MATCH($A62,Alumnos!$A$2:$A$31,0)),"")</f>
        <v>Ortiz, María</v>
      </c>
      <c r="C62" s="21">
        <v>1</v>
      </c>
      <c r="D62" s="21" t="s">
        <v>88</v>
      </c>
      <c r="E62" s="21" t="s">
        <v>28</v>
      </c>
      <c r="F62" s="21" t="s">
        <v>387</v>
      </c>
      <c r="G62" s="26" t="str">
        <f>IFERROR(INDEX(Profesores!$B$2:$B$12,MATCH($F62,Profesores!$A$2:$A$12,0))&amp;" "&amp;INDEX(Profesores!$C$2:$C$12,MATCH($F62,Profesores!$A$2:$A$12,0)),"")</f>
        <v>Sánchez Pablo</v>
      </c>
      <c r="H62" s="21">
        <v>7</v>
      </c>
      <c r="I62" s="21">
        <v>8</v>
      </c>
      <c r="J62" s="21">
        <v>8</v>
      </c>
      <c r="K62" s="27">
        <f t="shared" si="0"/>
        <v>7.666666666666667</v>
      </c>
      <c r="L62" s="26" t="str">
        <f t="shared" si="1"/>
        <v>Aprobado</v>
      </c>
      <c r="M62" s="22" t="s">
        <v>420</v>
      </c>
    </row>
    <row r="63" spans="1:13" x14ac:dyDescent="0.2">
      <c r="A63" s="21" t="s">
        <v>98</v>
      </c>
      <c r="B63" s="26" t="str">
        <f>IFERROR(INDEX(Alumnos!$B$2:$B$31,MATCH($A63,Alumnos!$A$2:$A$31,0))&amp;", "&amp;INDEX(Alumnos!$C$2:$C$31,MATCH($A63,Alumnos!$A$2:$A$31,0)),"")</f>
        <v>Herrera, Delfina</v>
      </c>
      <c r="C63" s="21">
        <v>1</v>
      </c>
      <c r="D63" s="21" t="s">
        <v>88</v>
      </c>
      <c r="E63" s="21" t="s">
        <v>28</v>
      </c>
      <c r="F63" s="21" t="s">
        <v>387</v>
      </c>
      <c r="G63" s="26" t="str">
        <f>IFERROR(INDEX(Profesores!$B$2:$B$12,MATCH($F63,Profesores!$A$2:$A$12,0))&amp;" "&amp;INDEX(Profesores!$C$2:$C$12,MATCH($F63,Profesores!$A$2:$A$12,0)),"")</f>
        <v>Sánchez Pablo</v>
      </c>
      <c r="H63" s="21">
        <v>7</v>
      </c>
      <c r="I63" s="21">
        <v>9</v>
      </c>
      <c r="J63" s="21">
        <v>8</v>
      </c>
      <c r="K63" s="27">
        <f t="shared" si="0"/>
        <v>8</v>
      </c>
      <c r="L63" s="26" t="str">
        <f t="shared" si="1"/>
        <v>Aprobado</v>
      </c>
      <c r="M63" s="22" t="s">
        <v>420</v>
      </c>
    </row>
    <row r="64" spans="1:13" ht="25.5" x14ac:dyDescent="0.2">
      <c r="A64" s="21" t="s">
        <v>109</v>
      </c>
      <c r="B64" s="26" t="str">
        <f>IFERROR(INDEX(Alumnos!$B$2:$B$31,MATCH($A64,Alumnos!$A$2:$A$31,0))&amp;", "&amp;INDEX(Alumnos!$C$2:$C$31,MATCH($A64,Alumnos!$A$2:$A$31,0)),"")</f>
        <v>Vega, Joaquín</v>
      </c>
      <c r="C64" s="21">
        <v>1</v>
      </c>
      <c r="D64" s="21" t="s">
        <v>88</v>
      </c>
      <c r="E64" s="21" t="s">
        <v>28</v>
      </c>
      <c r="F64" s="21" t="s">
        <v>387</v>
      </c>
      <c r="G64" s="26" t="str">
        <f>IFERROR(INDEX(Profesores!$B$2:$B$12,MATCH($F64,Profesores!$A$2:$A$12,0))&amp;" "&amp;INDEX(Profesores!$C$2:$C$12,MATCH($F64,Profesores!$A$2:$A$12,0)),"")</f>
        <v>Sánchez Pablo</v>
      </c>
      <c r="H64" s="21">
        <v>6</v>
      </c>
      <c r="I64" s="21">
        <v>9</v>
      </c>
      <c r="J64" s="21">
        <v>7</v>
      </c>
      <c r="K64" s="27">
        <f t="shared" si="0"/>
        <v>7.333333333333333</v>
      </c>
      <c r="L64" s="26" t="str">
        <f t="shared" si="1"/>
        <v>Aprobado</v>
      </c>
      <c r="M64" s="22" t="s">
        <v>422</v>
      </c>
    </row>
    <row r="65" spans="1:13" x14ac:dyDescent="0.2">
      <c r="A65" s="21" t="s">
        <v>121</v>
      </c>
      <c r="B65" s="26" t="str">
        <f>IFERROR(INDEX(Alumnos!$B$2:$B$31,MATCH($A65,Alumnos!$A$2:$A$31,0))&amp;", "&amp;INDEX(Alumnos!$C$2:$C$31,MATCH($A65,Alumnos!$A$2:$A$31,0)),"")</f>
        <v>Silva, Tomás</v>
      </c>
      <c r="C65" s="21">
        <v>1</v>
      </c>
      <c r="D65" s="21" t="s">
        <v>88</v>
      </c>
      <c r="E65" s="21" t="s">
        <v>28</v>
      </c>
      <c r="F65" s="21" t="s">
        <v>387</v>
      </c>
      <c r="G65" s="26" t="str">
        <f>IFERROR(INDEX(Profesores!$B$2:$B$12,MATCH($F65,Profesores!$A$2:$A$12,0))&amp;" "&amp;INDEX(Profesores!$C$2:$C$12,MATCH($F65,Profesores!$A$2:$A$12,0)),"")</f>
        <v>Sánchez Pablo</v>
      </c>
      <c r="H65" s="21">
        <v>6</v>
      </c>
      <c r="I65" s="21">
        <v>6</v>
      </c>
      <c r="J65" s="21">
        <v>5</v>
      </c>
      <c r="K65" s="27">
        <f t="shared" si="0"/>
        <v>5.666666666666667</v>
      </c>
      <c r="L65" s="26" t="str">
        <f t="shared" si="1"/>
        <v>Desaprobado</v>
      </c>
      <c r="M65" s="22"/>
    </row>
    <row r="66" spans="1:13" x14ac:dyDescent="0.2">
      <c r="A66" s="21" t="s">
        <v>134</v>
      </c>
      <c r="B66" s="26" t="str">
        <f>IFERROR(INDEX(Alumnos!$B$2:$B$31,MATCH($A66,Alumnos!$A$2:$A$31,0))&amp;", "&amp;INDEX(Alumnos!$C$2:$C$31,MATCH($A66,Alumnos!$A$2:$A$31,0)),"")</f>
        <v>Sánchez, Franco</v>
      </c>
      <c r="C66" s="21">
        <v>1</v>
      </c>
      <c r="D66" s="21" t="s">
        <v>88</v>
      </c>
      <c r="E66" s="21" t="s">
        <v>28</v>
      </c>
      <c r="F66" s="21" t="s">
        <v>387</v>
      </c>
      <c r="G66" s="26" t="str">
        <f>IFERROR(INDEX(Profesores!$B$2:$B$12,MATCH($F66,Profesores!$A$2:$A$12,0))&amp;" "&amp;INDEX(Profesores!$C$2:$C$12,MATCH($F66,Profesores!$A$2:$A$12,0)),"")</f>
        <v>Sánchez Pablo</v>
      </c>
      <c r="H66" s="21">
        <v>9</v>
      </c>
      <c r="I66" s="21">
        <v>5</v>
      </c>
      <c r="J66" s="21">
        <v>6</v>
      </c>
      <c r="K66" s="27">
        <f t="shared" ref="K66:K129" si="2">IFERROR(AVERAGE($H66:$J66),"")</f>
        <v>6.666666666666667</v>
      </c>
      <c r="L66" s="26" t="str">
        <f t="shared" ref="L66:L129" si="3">IF($K66="","",IF($K66&gt;=6,"Aprobado","Desaprobado"))</f>
        <v>Aprobado</v>
      </c>
      <c r="M66" s="22"/>
    </row>
    <row r="67" spans="1:13" x14ac:dyDescent="0.2">
      <c r="A67" s="21" t="s">
        <v>144</v>
      </c>
      <c r="B67" s="26" t="str">
        <f>IFERROR(INDEX(Alumnos!$B$2:$B$31,MATCH($A67,Alumnos!$A$2:$A$31,0))&amp;", "&amp;INDEX(Alumnos!$C$2:$C$31,MATCH($A67,Alumnos!$A$2:$A$31,0)),"")</f>
        <v>Luna, Iván</v>
      </c>
      <c r="C67" s="21">
        <v>1</v>
      </c>
      <c r="D67" s="21" t="s">
        <v>88</v>
      </c>
      <c r="E67" s="21" t="s">
        <v>28</v>
      </c>
      <c r="F67" s="21" t="s">
        <v>387</v>
      </c>
      <c r="G67" s="26" t="str">
        <f>IFERROR(INDEX(Profesores!$B$2:$B$12,MATCH($F67,Profesores!$A$2:$A$12,0))&amp;" "&amp;INDEX(Profesores!$C$2:$C$12,MATCH($F67,Profesores!$A$2:$A$12,0)),"")</f>
        <v>Sánchez Pablo</v>
      </c>
      <c r="H67" s="21">
        <v>9</v>
      </c>
      <c r="I67" s="21">
        <v>8</v>
      </c>
      <c r="J67" s="21">
        <v>10</v>
      </c>
      <c r="K67" s="27">
        <f t="shared" si="2"/>
        <v>9</v>
      </c>
      <c r="L67" s="26" t="str">
        <f t="shared" si="3"/>
        <v>Aprobado</v>
      </c>
      <c r="M67" s="22"/>
    </row>
    <row r="68" spans="1:13" x14ac:dyDescent="0.2">
      <c r="A68" s="21" t="s">
        <v>156</v>
      </c>
      <c r="B68" s="26" t="str">
        <f>IFERROR(INDEX(Alumnos!$B$2:$B$31,MATCH($A68,Alumnos!$A$2:$A$31,0))&amp;", "&amp;INDEX(Alumnos!$C$2:$C$31,MATCH($A68,Alumnos!$A$2:$A$31,0)),"")</f>
        <v>Medina, Valentina</v>
      </c>
      <c r="C68" s="21">
        <v>1</v>
      </c>
      <c r="D68" s="21" t="s">
        <v>88</v>
      </c>
      <c r="E68" s="21" t="s">
        <v>28</v>
      </c>
      <c r="F68" s="21" t="s">
        <v>387</v>
      </c>
      <c r="G68" s="26" t="str">
        <f>IFERROR(INDEX(Profesores!$B$2:$B$12,MATCH($F68,Profesores!$A$2:$A$12,0))&amp;" "&amp;INDEX(Profesores!$C$2:$C$12,MATCH($F68,Profesores!$A$2:$A$12,0)),"")</f>
        <v>Sánchez Pablo</v>
      </c>
      <c r="H68" s="21">
        <v>5</v>
      </c>
      <c r="I68" s="21">
        <v>5</v>
      </c>
      <c r="J68" s="21">
        <v>9</v>
      </c>
      <c r="K68" s="27">
        <f t="shared" si="2"/>
        <v>6.333333333333333</v>
      </c>
      <c r="L68" s="26" t="str">
        <f t="shared" si="3"/>
        <v>Aprobado</v>
      </c>
      <c r="M68" s="22" t="s">
        <v>424</v>
      </c>
    </row>
    <row r="69" spans="1:13" x14ac:dyDescent="0.2">
      <c r="A69" s="21" t="s">
        <v>168</v>
      </c>
      <c r="B69" s="26" t="str">
        <f>IFERROR(INDEX(Alumnos!$B$2:$B$31,MATCH($A69,Alumnos!$A$2:$A$31,0))&amp;", "&amp;INDEX(Alumnos!$C$2:$C$31,MATCH($A69,Alumnos!$A$2:$A$31,0)),"")</f>
        <v>Rojas, María</v>
      </c>
      <c r="C69" s="21">
        <v>1</v>
      </c>
      <c r="D69" s="21" t="s">
        <v>88</v>
      </c>
      <c r="E69" s="21" t="s">
        <v>28</v>
      </c>
      <c r="F69" s="21" t="s">
        <v>387</v>
      </c>
      <c r="G69" s="26" t="str">
        <f>IFERROR(INDEX(Profesores!$B$2:$B$12,MATCH($F69,Profesores!$A$2:$A$12,0))&amp;" "&amp;INDEX(Profesores!$C$2:$C$12,MATCH($F69,Profesores!$A$2:$A$12,0)),"")</f>
        <v>Sánchez Pablo</v>
      </c>
      <c r="H69" s="21">
        <v>6</v>
      </c>
      <c r="I69" s="21">
        <v>9</v>
      </c>
      <c r="J69" s="21">
        <v>8</v>
      </c>
      <c r="K69" s="27">
        <f t="shared" si="2"/>
        <v>7.666666666666667</v>
      </c>
      <c r="L69" s="26" t="str">
        <f t="shared" si="3"/>
        <v>Aprobado</v>
      </c>
      <c r="M69" s="22" t="s">
        <v>423</v>
      </c>
    </row>
    <row r="70" spans="1:13" x14ac:dyDescent="0.2">
      <c r="A70" s="21" t="s">
        <v>178</v>
      </c>
      <c r="B70" s="26" t="str">
        <f>IFERROR(INDEX(Alumnos!$B$2:$B$31,MATCH($A70,Alumnos!$A$2:$A$31,0))&amp;", "&amp;INDEX(Alumnos!$C$2:$C$31,MATCH($A70,Alumnos!$A$2:$A$31,0)),"")</f>
        <v>Cabrera, Sofía</v>
      </c>
      <c r="C70" s="21">
        <v>1</v>
      </c>
      <c r="D70" s="21" t="s">
        <v>88</v>
      </c>
      <c r="E70" s="21" t="s">
        <v>28</v>
      </c>
      <c r="F70" s="21" t="s">
        <v>387</v>
      </c>
      <c r="G70" s="26" t="str">
        <f>IFERROR(INDEX(Profesores!$B$2:$B$12,MATCH($F70,Profesores!$A$2:$A$12,0))&amp;" "&amp;INDEX(Profesores!$C$2:$C$12,MATCH($F70,Profesores!$A$2:$A$12,0)),"")</f>
        <v>Sánchez Pablo</v>
      </c>
      <c r="H70" s="21">
        <v>8</v>
      </c>
      <c r="I70" s="21">
        <v>6</v>
      </c>
      <c r="J70" s="21">
        <v>4</v>
      </c>
      <c r="K70" s="27">
        <f t="shared" si="2"/>
        <v>6</v>
      </c>
      <c r="L70" s="26" t="str">
        <f t="shared" si="3"/>
        <v>Aprobado</v>
      </c>
      <c r="M70" s="22" t="s">
        <v>425</v>
      </c>
    </row>
    <row r="71" spans="1:13" x14ac:dyDescent="0.2">
      <c r="A71" s="21" t="s">
        <v>188</v>
      </c>
      <c r="B71" s="26" t="str">
        <f>IFERROR(INDEX(Alumnos!$B$2:$B$31,MATCH($A71,Alumnos!$A$2:$A$31,0))&amp;", "&amp;INDEX(Alumnos!$C$2:$C$31,MATCH($A71,Alumnos!$A$2:$A$31,0)),"")</f>
        <v>Núñez, Renata</v>
      </c>
      <c r="C71" s="21">
        <v>1</v>
      </c>
      <c r="D71" s="21" t="s">
        <v>88</v>
      </c>
      <c r="E71" s="21" t="s">
        <v>28</v>
      </c>
      <c r="F71" s="21" t="s">
        <v>387</v>
      </c>
      <c r="G71" s="26" t="str">
        <f>IFERROR(INDEX(Profesores!$B$2:$B$12,MATCH($F71,Profesores!$A$2:$A$12,0))&amp;" "&amp;INDEX(Profesores!$C$2:$C$12,MATCH($F71,Profesores!$A$2:$A$12,0)),"")</f>
        <v>Sánchez Pablo</v>
      </c>
      <c r="H71" s="21">
        <v>6</v>
      </c>
      <c r="I71" s="21">
        <v>5</v>
      </c>
      <c r="J71" s="21">
        <v>6</v>
      </c>
      <c r="K71" s="27">
        <f t="shared" si="2"/>
        <v>5.666666666666667</v>
      </c>
      <c r="L71" s="26" t="str">
        <f t="shared" si="3"/>
        <v>Desaprobado</v>
      </c>
      <c r="M71" s="22"/>
    </row>
    <row r="72" spans="1:13" x14ac:dyDescent="0.2">
      <c r="A72" s="21" t="s">
        <v>84</v>
      </c>
      <c r="B72" s="26" t="str">
        <f>IFERROR(INDEX(Alumnos!$B$2:$B$31,MATCH($A72,Alumnos!$A$2:$A$31,0))&amp;", "&amp;INDEX(Alumnos!$C$2:$C$31,MATCH($A72,Alumnos!$A$2:$A$31,0)),"")</f>
        <v>Ortiz, María</v>
      </c>
      <c r="C72" s="21">
        <v>1</v>
      </c>
      <c r="D72" s="21" t="s">
        <v>88</v>
      </c>
      <c r="E72" s="21" t="s">
        <v>26</v>
      </c>
      <c r="F72" s="21" t="s">
        <v>391</v>
      </c>
      <c r="G72" s="26" t="str">
        <f>IFERROR(INDEX(Profesores!$B$2:$B$12,MATCH($F72,Profesores!$A$2:$A$12,0))&amp;" "&amp;INDEX(Profesores!$C$2:$C$12,MATCH($F72,Profesores!$A$2:$A$12,0)),"")</f>
        <v>Torres Marina</v>
      </c>
      <c r="H72" s="21">
        <v>6</v>
      </c>
      <c r="I72" s="21">
        <v>4</v>
      </c>
      <c r="J72" s="21">
        <v>9</v>
      </c>
      <c r="K72" s="27">
        <f t="shared" si="2"/>
        <v>6.333333333333333</v>
      </c>
      <c r="L72" s="26" t="str">
        <f t="shared" si="3"/>
        <v>Aprobado</v>
      </c>
      <c r="M72" s="22" t="s">
        <v>423</v>
      </c>
    </row>
    <row r="73" spans="1:13" x14ac:dyDescent="0.2">
      <c r="A73" s="21" t="s">
        <v>98</v>
      </c>
      <c r="B73" s="26" t="str">
        <f>IFERROR(INDEX(Alumnos!$B$2:$B$31,MATCH($A73,Alumnos!$A$2:$A$31,0))&amp;", "&amp;INDEX(Alumnos!$C$2:$C$31,MATCH($A73,Alumnos!$A$2:$A$31,0)),"")</f>
        <v>Herrera, Delfina</v>
      </c>
      <c r="C73" s="21">
        <v>1</v>
      </c>
      <c r="D73" s="21" t="s">
        <v>88</v>
      </c>
      <c r="E73" s="21" t="s">
        <v>26</v>
      </c>
      <c r="F73" s="21" t="s">
        <v>391</v>
      </c>
      <c r="G73" s="26" t="str">
        <f>IFERROR(INDEX(Profesores!$B$2:$B$12,MATCH($F73,Profesores!$A$2:$A$12,0))&amp;" "&amp;INDEX(Profesores!$C$2:$C$12,MATCH($F73,Profesores!$A$2:$A$12,0)),"")</f>
        <v>Torres Marina</v>
      </c>
      <c r="H73" s="21">
        <v>5</v>
      </c>
      <c r="I73" s="21">
        <v>6</v>
      </c>
      <c r="J73" s="21">
        <v>4</v>
      </c>
      <c r="K73" s="27">
        <f t="shared" si="2"/>
        <v>5</v>
      </c>
      <c r="L73" s="26" t="str">
        <f t="shared" si="3"/>
        <v>Desaprobado</v>
      </c>
      <c r="M73" s="22"/>
    </row>
    <row r="74" spans="1:13" x14ac:dyDescent="0.2">
      <c r="A74" s="21" t="s">
        <v>109</v>
      </c>
      <c r="B74" s="26" t="str">
        <f>IFERROR(INDEX(Alumnos!$B$2:$B$31,MATCH($A74,Alumnos!$A$2:$A$31,0))&amp;", "&amp;INDEX(Alumnos!$C$2:$C$31,MATCH($A74,Alumnos!$A$2:$A$31,0)),"")</f>
        <v>Vega, Joaquín</v>
      </c>
      <c r="C74" s="21">
        <v>1</v>
      </c>
      <c r="D74" s="21" t="s">
        <v>88</v>
      </c>
      <c r="E74" s="21" t="s">
        <v>26</v>
      </c>
      <c r="F74" s="21" t="s">
        <v>391</v>
      </c>
      <c r="G74" s="26" t="str">
        <f>IFERROR(INDEX(Profesores!$B$2:$B$12,MATCH($F74,Profesores!$A$2:$A$12,0))&amp;" "&amp;INDEX(Profesores!$C$2:$C$12,MATCH($F74,Profesores!$A$2:$A$12,0)),"")</f>
        <v>Torres Marina</v>
      </c>
      <c r="H74" s="21">
        <v>8</v>
      </c>
      <c r="I74" s="21">
        <v>6</v>
      </c>
      <c r="J74" s="21">
        <v>9</v>
      </c>
      <c r="K74" s="27">
        <f t="shared" si="2"/>
        <v>7.666666666666667</v>
      </c>
      <c r="L74" s="26" t="str">
        <f t="shared" si="3"/>
        <v>Aprobado</v>
      </c>
      <c r="M74" s="22"/>
    </row>
    <row r="75" spans="1:13" x14ac:dyDescent="0.2">
      <c r="A75" s="21" t="s">
        <v>121</v>
      </c>
      <c r="B75" s="26" t="str">
        <f>IFERROR(INDEX(Alumnos!$B$2:$B$31,MATCH($A75,Alumnos!$A$2:$A$31,0))&amp;", "&amp;INDEX(Alumnos!$C$2:$C$31,MATCH($A75,Alumnos!$A$2:$A$31,0)),"")</f>
        <v>Silva, Tomás</v>
      </c>
      <c r="C75" s="21">
        <v>1</v>
      </c>
      <c r="D75" s="21" t="s">
        <v>88</v>
      </c>
      <c r="E75" s="21" t="s">
        <v>26</v>
      </c>
      <c r="F75" s="21" t="s">
        <v>391</v>
      </c>
      <c r="G75" s="26" t="str">
        <f>IFERROR(INDEX(Profesores!$B$2:$B$12,MATCH($F75,Profesores!$A$2:$A$12,0))&amp;" "&amp;INDEX(Profesores!$C$2:$C$12,MATCH($F75,Profesores!$A$2:$A$12,0)),"")</f>
        <v>Torres Marina</v>
      </c>
      <c r="H75" s="21">
        <v>9</v>
      </c>
      <c r="I75" s="21">
        <v>10</v>
      </c>
      <c r="J75" s="21">
        <v>10</v>
      </c>
      <c r="K75" s="27">
        <f t="shared" si="2"/>
        <v>9.6666666666666661</v>
      </c>
      <c r="L75" s="26" t="str">
        <f t="shared" si="3"/>
        <v>Aprobado</v>
      </c>
      <c r="M75" s="22" t="s">
        <v>424</v>
      </c>
    </row>
    <row r="76" spans="1:13" x14ac:dyDescent="0.2">
      <c r="A76" s="21" t="s">
        <v>134</v>
      </c>
      <c r="B76" s="26" t="str">
        <f>IFERROR(INDEX(Alumnos!$B$2:$B$31,MATCH($A76,Alumnos!$A$2:$A$31,0))&amp;", "&amp;INDEX(Alumnos!$C$2:$C$31,MATCH($A76,Alumnos!$A$2:$A$31,0)),"")</f>
        <v>Sánchez, Franco</v>
      </c>
      <c r="C76" s="21">
        <v>1</v>
      </c>
      <c r="D76" s="21" t="s">
        <v>88</v>
      </c>
      <c r="E76" s="21" t="s">
        <v>26</v>
      </c>
      <c r="F76" s="21" t="s">
        <v>391</v>
      </c>
      <c r="G76" s="26" t="str">
        <f>IFERROR(INDEX(Profesores!$B$2:$B$12,MATCH($F76,Profesores!$A$2:$A$12,0))&amp;" "&amp;INDEX(Profesores!$C$2:$C$12,MATCH($F76,Profesores!$A$2:$A$12,0)),"")</f>
        <v>Torres Marina</v>
      </c>
      <c r="H76" s="21">
        <v>4</v>
      </c>
      <c r="I76" s="21">
        <v>10</v>
      </c>
      <c r="J76" s="21">
        <v>4</v>
      </c>
      <c r="K76" s="27">
        <f t="shared" si="2"/>
        <v>6</v>
      </c>
      <c r="L76" s="26" t="str">
        <f t="shared" si="3"/>
        <v>Aprobado</v>
      </c>
      <c r="M76" s="22" t="s">
        <v>426</v>
      </c>
    </row>
    <row r="77" spans="1:13" x14ac:dyDescent="0.2">
      <c r="A77" s="21" t="s">
        <v>144</v>
      </c>
      <c r="B77" s="26" t="str">
        <f>IFERROR(INDEX(Alumnos!$B$2:$B$31,MATCH($A77,Alumnos!$A$2:$A$31,0))&amp;", "&amp;INDEX(Alumnos!$C$2:$C$31,MATCH($A77,Alumnos!$A$2:$A$31,0)),"")</f>
        <v>Luna, Iván</v>
      </c>
      <c r="C77" s="21">
        <v>1</v>
      </c>
      <c r="D77" s="21" t="s">
        <v>88</v>
      </c>
      <c r="E77" s="21" t="s">
        <v>26</v>
      </c>
      <c r="F77" s="21" t="s">
        <v>391</v>
      </c>
      <c r="G77" s="26" t="str">
        <f>IFERROR(INDEX(Profesores!$B$2:$B$12,MATCH($F77,Profesores!$A$2:$A$12,0))&amp;" "&amp;INDEX(Profesores!$C$2:$C$12,MATCH($F77,Profesores!$A$2:$A$12,0)),"")</f>
        <v>Torres Marina</v>
      </c>
      <c r="H77" s="21">
        <v>6</v>
      </c>
      <c r="I77" s="21">
        <v>7</v>
      </c>
      <c r="J77" s="21">
        <v>7</v>
      </c>
      <c r="K77" s="27">
        <f t="shared" si="2"/>
        <v>6.666666666666667</v>
      </c>
      <c r="L77" s="26" t="str">
        <f t="shared" si="3"/>
        <v>Aprobado</v>
      </c>
      <c r="M77" s="22" t="s">
        <v>424</v>
      </c>
    </row>
    <row r="78" spans="1:13" ht="25.5" x14ac:dyDescent="0.2">
      <c r="A78" s="21" t="s">
        <v>156</v>
      </c>
      <c r="B78" s="26" t="str">
        <f>IFERROR(INDEX(Alumnos!$B$2:$B$31,MATCH($A78,Alumnos!$A$2:$A$31,0))&amp;", "&amp;INDEX(Alumnos!$C$2:$C$31,MATCH($A78,Alumnos!$A$2:$A$31,0)),"")</f>
        <v>Medina, Valentina</v>
      </c>
      <c r="C78" s="21">
        <v>1</v>
      </c>
      <c r="D78" s="21" t="s">
        <v>88</v>
      </c>
      <c r="E78" s="21" t="s">
        <v>26</v>
      </c>
      <c r="F78" s="21" t="s">
        <v>391</v>
      </c>
      <c r="G78" s="26" t="str">
        <f>IFERROR(INDEX(Profesores!$B$2:$B$12,MATCH($F78,Profesores!$A$2:$A$12,0))&amp;" "&amp;INDEX(Profesores!$C$2:$C$12,MATCH($F78,Profesores!$A$2:$A$12,0)),"")</f>
        <v>Torres Marina</v>
      </c>
      <c r="H78" s="21">
        <v>6</v>
      </c>
      <c r="I78" s="21">
        <v>5</v>
      </c>
      <c r="J78" s="21">
        <v>4</v>
      </c>
      <c r="K78" s="27">
        <f t="shared" si="2"/>
        <v>5</v>
      </c>
      <c r="L78" s="26" t="str">
        <f t="shared" si="3"/>
        <v>Desaprobado</v>
      </c>
      <c r="M78" s="22" t="s">
        <v>422</v>
      </c>
    </row>
    <row r="79" spans="1:13" x14ac:dyDescent="0.2">
      <c r="A79" s="21" t="s">
        <v>168</v>
      </c>
      <c r="B79" s="26" t="str">
        <f>IFERROR(INDEX(Alumnos!$B$2:$B$31,MATCH($A79,Alumnos!$A$2:$A$31,0))&amp;", "&amp;INDEX(Alumnos!$C$2:$C$31,MATCH($A79,Alumnos!$A$2:$A$31,0)),"")</f>
        <v>Rojas, María</v>
      </c>
      <c r="C79" s="21">
        <v>1</v>
      </c>
      <c r="D79" s="21" t="s">
        <v>88</v>
      </c>
      <c r="E79" s="21" t="s">
        <v>26</v>
      </c>
      <c r="F79" s="21" t="s">
        <v>391</v>
      </c>
      <c r="G79" s="26" t="str">
        <f>IFERROR(INDEX(Profesores!$B$2:$B$12,MATCH($F79,Profesores!$A$2:$A$12,0))&amp;" "&amp;INDEX(Profesores!$C$2:$C$12,MATCH($F79,Profesores!$A$2:$A$12,0)),"")</f>
        <v>Torres Marina</v>
      </c>
      <c r="H79" s="21">
        <v>10</v>
      </c>
      <c r="I79" s="21">
        <v>7</v>
      </c>
      <c r="J79" s="21">
        <v>4</v>
      </c>
      <c r="K79" s="27">
        <f t="shared" si="2"/>
        <v>7</v>
      </c>
      <c r="L79" s="26" t="str">
        <f t="shared" si="3"/>
        <v>Aprobado</v>
      </c>
      <c r="M79" s="22"/>
    </row>
    <row r="80" spans="1:13" x14ac:dyDescent="0.2">
      <c r="A80" s="21" t="s">
        <v>178</v>
      </c>
      <c r="B80" s="26" t="str">
        <f>IFERROR(INDEX(Alumnos!$B$2:$B$31,MATCH($A80,Alumnos!$A$2:$A$31,0))&amp;", "&amp;INDEX(Alumnos!$C$2:$C$31,MATCH($A80,Alumnos!$A$2:$A$31,0)),"")</f>
        <v>Cabrera, Sofía</v>
      </c>
      <c r="C80" s="21">
        <v>1</v>
      </c>
      <c r="D80" s="21" t="s">
        <v>88</v>
      </c>
      <c r="E80" s="21" t="s">
        <v>26</v>
      </c>
      <c r="F80" s="21" t="s">
        <v>391</v>
      </c>
      <c r="G80" s="26" t="str">
        <f>IFERROR(INDEX(Profesores!$B$2:$B$12,MATCH($F80,Profesores!$A$2:$A$12,0))&amp;" "&amp;INDEX(Profesores!$C$2:$C$12,MATCH($F80,Profesores!$A$2:$A$12,0)),"")</f>
        <v>Torres Marina</v>
      </c>
      <c r="H80" s="21">
        <v>7</v>
      </c>
      <c r="I80" s="21">
        <v>7</v>
      </c>
      <c r="J80" s="21">
        <v>4</v>
      </c>
      <c r="K80" s="27">
        <f t="shared" si="2"/>
        <v>6</v>
      </c>
      <c r="L80" s="26" t="str">
        <f t="shared" si="3"/>
        <v>Aprobado</v>
      </c>
      <c r="M80" s="22" t="s">
        <v>426</v>
      </c>
    </row>
    <row r="81" spans="1:13" x14ac:dyDescent="0.2">
      <c r="A81" s="21" t="s">
        <v>188</v>
      </c>
      <c r="B81" s="26" t="str">
        <f>IFERROR(INDEX(Alumnos!$B$2:$B$31,MATCH($A81,Alumnos!$A$2:$A$31,0))&amp;", "&amp;INDEX(Alumnos!$C$2:$C$31,MATCH($A81,Alumnos!$A$2:$A$31,0)),"")</f>
        <v>Núñez, Renata</v>
      </c>
      <c r="C81" s="21">
        <v>1</v>
      </c>
      <c r="D81" s="21" t="s">
        <v>88</v>
      </c>
      <c r="E81" s="21" t="s">
        <v>26</v>
      </c>
      <c r="F81" s="21" t="s">
        <v>391</v>
      </c>
      <c r="G81" s="26" t="str">
        <f>IFERROR(INDEX(Profesores!$B$2:$B$12,MATCH($F81,Profesores!$A$2:$A$12,0))&amp;" "&amp;INDEX(Profesores!$C$2:$C$12,MATCH($F81,Profesores!$A$2:$A$12,0)),"")</f>
        <v>Torres Marina</v>
      </c>
      <c r="H81" s="21">
        <v>9</v>
      </c>
      <c r="I81" s="21">
        <v>9</v>
      </c>
      <c r="J81" s="21">
        <v>4</v>
      </c>
      <c r="K81" s="27">
        <f t="shared" si="2"/>
        <v>7.333333333333333</v>
      </c>
      <c r="L81" s="26" t="str">
        <f t="shared" si="3"/>
        <v>Aprobado</v>
      </c>
      <c r="M81" s="22"/>
    </row>
    <row r="82" spans="1:13" ht="25.5" x14ac:dyDescent="0.2">
      <c r="A82" s="21" t="s">
        <v>197</v>
      </c>
      <c r="B82" s="26" t="str">
        <f>IFERROR(INDEX(Alumnos!$B$2:$B$31,MATCH($A82,Alumnos!$A$2:$A$31,0))&amp;", "&amp;INDEX(Alumnos!$C$2:$C$31,MATCH($A82,Alumnos!$A$2:$A$31,0)),"")</f>
        <v>Pérez, Emilia</v>
      </c>
      <c r="C82" s="21">
        <v>2</v>
      </c>
      <c r="D82" s="21" t="s">
        <v>88</v>
      </c>
      <c r="E82" s="21" t="s">
        <v>35</v>
      </c>
      <c r="F82" s="21" t="s">
        <v>360</v>
      </c>
      <c r="G82" s="26" t="str">
        <f>IFERROR(INDEX(Profesores!$B$2:$B$12,MATCH($F82,Profesores!$A$2:$A$12,0))&amp;" "&amp;INDEX(Profesores!$C$2:$C$12,MATCH($F82,Profesores!$A$2:$A$12,0)),"")</f>
        <v>Gómez Laura</v>
      </c>
      <c r="H82" s="21">
        <v>5</v>
      </c>
      <c r="I82" s="21">
        <v>10</v>
      </c>
      <c r="J82" s="21">
        <v>8</v>
      </c>
      <c r="K82" s="27">
        <f t="shared" si="2"/>
        <v>7.666666666666667</v>
      </c>
      <c r="L82" s="26" t="str">
        <f t="shared" si="3"/>
        <v>Aprobado</v>
      </c>
      <c r="M82" s="22" t="s">
        <v>422</v>
      </c>
    </row>
    <row r="83" spans="1:13" x14ac:dyDescent="0.2">
      <c r="A83" s="21" t="s">
        <v>204</v>
      </c>
      <c r="B83" s="26" t="str">
        <f>IFERROR(INDEX(Alumnos!$B$2:$B$31,MATCH($A83,Alumnos!$A$2:$A$31,0))&amp;", "&amp;INDEX(Alumnos!$C$2:$C$31,MATCH($A83,Alumnos!$A$2:$A$31,0)),"")</f>
        <v>Aguirre, Camila</v>
      </c>
      <c r="C83" s="21">
        <v>2</v>
      </c>
      <c r="D83" s="21" t="s">
        <v>88</v>
      </c>
      <c r="E83" s="21" t="s">
        <v>35</v>
      </c>
      <c r="F83" s="21" t="s">
        <v>360</v>
      </c>
      <c r="G83" s="26" t="str">
        <f>IFERROR(INDEX(Profesores!$B$2:$B$12,MATCH($F83,Profesores!$A$2:$A$12,0))&amp;" "&amp;INDEX(Profesores!$C$2:$C$12,MATCH($F83,Profesores!$A$2:$A$12,0)),"")</f>
        <v>Gómez Laura</v>
      </c>
      <c r="H83" s="21">
        <v>4</v>
      </c>
      <c r="I83" s="21">
        <v>5</v>
      </c>
      <c r="J83" s="21">
        <v>4</v>
      </c>
      <c r="K83" s="27">
        <f t="shared" si="2"/>
        <v>4.333333333333333</v>
      </c>
      <c r="L83" s="26" t="str">
        <f t="shared" si="3"/>
        <v>Desaprobado</v>
      </c>
      <c r="M83" s="22" t="s">
        <v>423</v>
      </c>
    </row>
    <row r="84" spans="1:13" x14ac:dyDescent="0.2">
      <c r="A84" s="21" t="s">
        <v>212</v>
      </c>
      <c r="B84" s="26" t="str">
        <f>IFERROR(INDEX(Alumnos!$B$2:$B$31,MATCH($A84,Alumnos!$A$2:$A$31,0))&amp;", "&amp;INDEX(Alumnos!$C$2:$C$31,MATCH($A84,Alumnos!$A$2:$A$31,0)),"")</f>
        <v>Aguirre, Guadalupe</v>
      </c>
      <c r="C84" s="21">
        <v>2</v>
      </c>
      <c r="D84" s="21" t="s">
        <v>88</v>
      </c>
      <c r="E84" s="21" t="s">
        <v>35</v>
      </c>
      <c r="F84" s="21" t="s">
        <v>360</v>
      </c>
      <c r="G84" s="26" t="str">
        <f>IFERROR(INDEX(Profesores!$B$2:$B$12,MATCH($F84,Profesores!$A$2:$A$12,0))&amp;" "&amp;INDEX(Profesores!$C$2:$C$12,MATCH($F84,Profesores!$A$2:$A$12,0)),"")</f>
        <v>Gómez Laura</v>
      </c>
      <c r="H84" s="21">
        <v>10</v>
      </c>
      <c r="I84" s="21">
        <v>7</v>
      </c>
      <c r="J84" s="21">
        <v>8</v>
      </c>
      <c r="K84" s="27">
        <f t="shared" si="2"/>
        <v>8.3333333333333339</v>
      </c>
      <c r="L84" s="26" t="str">
        <f t="shared" si="3"/>
        <v>Aprobado</v>
      </c>
      <c r="M84" s="22" t="s">
        <v>426</v>
      </c>
    </row>
    <row r="85" spans="1:13" x14ac:dyDescent="0.2">
      <c r="A85" s="21" t="s">
        <v>223</v>
      </c>
      <c r="B85" s="26" t="str">
        <f>IFERROR(INDEX(Alumnos!$B$2:$B$31,MATCH($A85,Alumnos!$A$2:$A$31,0))&amp;", "&amp;INDEX(Alumnos!$C$2:$C$31,MATCH($A85,Alumnos!$A$2:$A$31,0)),"")</f>
        <v>Acosta, Bruno</v>
      </c>
      <c r="C85" s="21">
        <v>2</v>
      </c>
      <c r="D85" s="21" t="s">
        <v>88</v>
      </c>
      <c r="E85" s="21" t="s">
        <v>35</v>
      </c>
      <c r="F85" s="21" t="s">
        <v>360</v>
      </c>
      <c r="G85" s="26" t="str">
        <f>IFERROR(INDEX(Profesores!$B$2:$B$12,MATCH($F85,Profesores!$A$2:$A$12,0))&amp;" "&amp;INDEX(Profesores!$C$2:$C$12,MATCH($F85,Profesores!$A$2:$A$12,0)),"")</f>
        <v>Gómez Laura</v>
      </c>
      <c r="H85" s="21">
        <v>10</v>
      </c>
      <c r="I85" s="21">
        <v>8</v>
      </c>
      <c r="J85" s="21">
        <v>5</v>
      </c>
      <c r="K85" s="27">
        <f t="shared" si="2"/>
        <v>7.666666666666667</v>
      </c>
      <c r="L85" s="26" t="str">
        <f t="shared" si="3"/>
        <v>Aprobado</v>
      </c>
      <c r="M85" s="22" t="s">
        <v>423</v>
      </c>
    </row>
    <row r="86" spans="1:13" ht="25.5" x14ac:dyDescent="0.2">
      <c r="A86" s="21" t="s">
        <v>232</v>
      </c>
      <c r="B86" s="26" t="str">
        <f>IFERROR(INDEX(Alumnos!$B$2:$B$31,MATCH($A86,Alumnos!$A$2:$A$31,0))&amp;", "&amp;INDEX(Alumnos!$C$2:$C$31,MATCH($A86,Alumnos!$A$2:$A$31,0)),"")</f>
        <v>Flores, Valentina</v>
      </c>
      <c r="C86" s="21">
        <v>2</v>
      </c>
      <c r="D86" s="21" t="s">
        <v>88</v>
      </c>
      <c r="E86" s="21" t="s">
        <v>35</v>
      </c>
      <c r="F86" s="21" t="s">
        <v>360</v>
      </c>
      <c r="G86" s="26" t="str">
        <f>IFERROR(INDEX(Profesores!$B$2:$B$12,MATCH($F86,Profesores!$A$2:$A$12,0))&amp;" "&amp;INDEX(Profesores!$C$2:$C$12,MATCH($F86,Profesores!$A$2:$A$12,0)),"")</f>
        <v>Gómez Laura</v>
      </c>
      <c r="H86" s="21">
        <v>7</v>
      </c>
      <c r="I86" s="21">
        <v>7</v>
      </c>
      <c r="J86" s="21">
        <v>7</v>
      </c>
      <c r="K86" s="27">
        <f t="shared" si="2"/>
        <v>7</v>
      </c>
      <c r="L86" s="26" t="str">
        <f t="shared" si="3"/>
        <v>Aprobado</v>
      </c>
      <c r="M86" s="22" t="s">
        <v>422</v>
      </c>
    </row>
    <row r="87" spans="1:13" ht="25.5" x14ac:dyDescent="0.2">
      <c r="A87" s="21" t="s">
        <v>239</v>
      </c>
      <c r="B87" s="26" t="str">
        <f>IFERROR(INDEX(Alumnos!$B$2:$B$31,MATCH($A87,Alumnos!$A$2:$A$31,0))&amp;", "&amp;INDEX(Alumnos!$C$2:$C$31,MATCH($A87,Alumnos!$A$2:$A$31,0)),"")</f>
        <v>Aguirre, Juan</v>
      </c>
      <c r="C87" s="21">
        <v>2</v>
      </c>
      <c r="D87" s="21" t="s">
        <v>88</v>
      </c>
      <c r="E87" s="21" t="s">
        <v>35</v>
      </c>
      <c r="F87" s="21" t="s">
        <v>360</v>
      </c>
      <c r="G87" s="26" t="str">
        <f>IFERROR(INDEX(Profesores!$B$2:$B$12,MATCH($F87,Profesores!$A$2:$A$12,0))&amp;" "&amp;INDEX(Profesores!$C$2:$C$12,MATCH($F87,Profesores!$A$2:$A$12,0)),"")</f>
        <v>Gómez Laura</v>
      </c>
      <c r="H87" s="21">
        <v>10</v>
      </c>
      <c r="I87" s="21">
        <v>8</v>
      </c>
      <c r="J87" s="21">
        <v>7</v>
      </c>
      <c r="K87" s="27">
        <f t="shared" si="2"/>
        <v>8.3333333333333339</v>
      </c>
      <c r="L87" s="26" t="str">
        <f t="shared" si="3"/>
        <v>Aprobado</v>
      </c>
      <c r="M87" s="22" t="s">
        <v>422</v>
      </c>
    </row>
    <row r="88" spans="1:13" x14ac:dyDescent="0.2">
      <c r="A88" s="21" t="s">
        <v>247</v>
      </c>
      <c r="B88" s="26" t="str">
        <f>IFERROR(INDEX(Alumnos!$B$2:$B$31,MATCH($A88,Alumnos!$A$2:$A$31,0))&amp;", "&amp;INDEX(Alumnos!$C$2:$C$31,MATCH($A88,Alumnos!$A$2:$A$31,0)),"")</f>
        <v>Ruiz, Camila</v>
      </c>
      <c r="C88" s="21">
        <v>2</v>
      </c>
      <c r="D88" s="21" t="s">
        <v>88</v>
      </c>
      <c r="E88" s="21" t="s">
        <v>35</v>
      </c>
      <c r="F88" s="21" t="s">
        <v>360</v>
      </c>
      <c r="G88" s="26" t="str">
        <f>IFERROR(INDEX(Profesores!$B$2:$B$12,MATCH($F88,Profesores!$A$2:$A$12,0))&amp;" "&amp;INDEX(Profesores!$C$2:$C$12,MATCH($F88,Profesores!$A$2:$A$12,0)),"")</f>
        <v>Gómez Laura</v>
      </c>
      <c r="H88" s="21">
        <v>8</v>
      </c>
      <c r="I88" s="21">
        <v>8</v>
      </c>
      <c r="J88" s="21">
        <v>4</v>
      </c>
      <c r="K88" s="27">
        <f t="shared" si="2"/>
        <v>6.666666666666667</v>
      </c>
      <c r="L88" s="26" t="str">
        <f t="shared" si="3"/>
        <v>Aprobado</v>
      </c>
      <c r="M88" s="22" t="s">
        <v>426</v>
      </c>
    </row>
    <row r="89" spans="1:13" x14ac:dyDescent="0.2">
      <c r="A89" s="21" t="s">
        <v>255</v>
      </c>
      <c r="B89" s="26" t="str">
        <f>IFERROR(INDEX(Alumnos!$B$2:$B$31,MATCH($A89,Alumnos!$A$2:$A$31,0))&amp;", "&amp;INDEX(Alumnos!$C$2:$C$31,MATCH($A89,Alumnos!$A$2:$A$31,0)),"")</f>
        <v>Castro, Nicolás</v>
      </c>
      <c r="C89" s="21">
        <v>2</v>
      </c>
      <c r="D89" s="21" t="s">
        <v>88</v>
      </c>
      <c r="E89" s="21" t="s">
        <v>35</v>
      </c>
      <c r="F89" s="21" t="s">
        <v>360</v>
      </c>
      <c r="G89" s="26" t="str">
        <f>IFERROR(INDEX(Profesores!$B$2:$B$12,MATCH($F89,Profesores!$A$2:$A$12,0))&amp;" "&amp;INDEX(Profesores!$C$2:$C$12,MATCH($F89,Profesores!$A$2:$A$12,0)),"")</f>
        <v>Gómez Laura</v>
      </c>
      <c r="H89" s="21">
        <v>9</v>
      </c>
      <c r="I89" s="21">
        <v>4</v>
      </c>
      <c r="J89" s="21">
        <v>10</v>
      </c>
      <c r="K89" s="27">
        <f t="shared" si="2"/>
        <v>7.666666666666667</v>
      </c>
      <c r="L89" s="26" t="str">
        <f t="shared" si="3"/>
        <v>Aprobado</v>
      </c>
      <c r="M89" s="22" t="s">
        <v>425</v>
      </c>
    </row>
    <row r="90" spans="1:13" x14ac:dyDescent="0.2">
      <c r="A90" s="21" t="s">
        <v>263</v>
      </c>
      <c r="B90" s="26" t="str">
        <f>IFERROR(INDEX(Alumnos!$B$2:$B$31,MATCH($A90,Alumnos!$A$2:$A$31,0))&amp;", "&amp;INDEX(Alumnos!$C$2:$C$31,MATCH($A90,Alumnos!$A$2:$A$31,0)),"")</f>
        <v>Suárez, Julieta</v>
      </c>
      <c r="C90" s="21">
        <v>2</v>
      </c>
      <c r="D90" s="21" t="s">
        <v>88</v>
      </c>
      <c r="E90" s="21" t="s">
        <v>35</v>
      </c>
      <c r="F90" s="21" t="s">
        <v>360</v>
      </c>
      <c r="G90" s="26" t="str">
        <f>IFERROR(INDEX(Profesores!$B$2:$B$12,MATCH($F90,Profesores!$A$2:$A$12,0))&amp;" "&amp;INDEX(Profesores!$C$2:$C$12,MATCH($F90,Profesores!$A$2:$A$12,0)),"")</f>
        <v>Gómez Laura</v>
      </c>
      <c r="H90" s="21">
        <v>9</v>
      </c>
      <c r="I90" s="21">
        <v>5</v>
      </c>
      <c r="J90" s="21">
        <v>6</v>
      </c>
      <c r="K90" s="27">
        <f t="shared" si="2"/>
        <v>6.666666666666667</v>
      </c>
      <c r="L90" s="26" t="str">
        <f t="shared" si="3"/>
        <v>Aprobado</v>
      </c>
      <c r="M90" s="22"/>
    </row>
    <row r="91" spans="1:13" x14ac:dyDescent="0.2">
      <c r="A91" s="21" t="s">
        <v>271</v>
      </c>
      <c r="B91" s="26" t="str">
        <f>IFERROR(INDEX(Alumnos!$B$2:$B$31,MATCH($A91,Alumnos!$A$2:$A$31,0))&amp;", "&amp;INDEX(Alumnos!$C$2:$C$31,MATCH($A91,Alumnos!$A$2:$A$31,0)),"")</f>
        <v>Vega, Benjamín</v>
      </c>
      <c r="C91" s="21">
        <v>2</v>
      </c>
      <c r="D91" s="21" t="s">
        <v>88</v>
      </c>
      <c r="E91" s="21" t="s">
        <v>35</v>
      </c>
      <c r="F91" s="21" t="s">
        <v>360</v>
      </c>
      <c r="G91" s="26" t="str">
        <f>IFERROR(INDEX(Profesores!$B$2:$B$12,MATCH($F91,Profesores!$A$2:$A$12,0))&amp;" "&amp;INDEX(Profesores!$C$2:$C$12,MATCH($F91,Profesores!$A$2:$A$12,0)),"")</f>
        <v>Gómez Laura</v>
      </c>
      <c r="H91" s="21">
        <v>5</v>
      </c>
      <c r="I91" s="21">
        <v>5</v>
      </c>
      <c r="J91" s="21">
        <v>5</v>
      </c>
      <c r="K91" s="27">
        <f t="shared" si="2"/>
        <v>5</v>
      </c>
      <c r="L91" s="26" t="str">
        <f t="shared" si="3"/>
        <v>Desaprobado</v>
      </c>
      <c r="M91" s="22" t="s">
        <v>423</v>
      </c>
    </row>
    <row r="92" spans="1:13" x14ac:dyDescent="0.2">
      <c r="A92" s="21" t="s">
        <v>197</v>
      </c>
      <c r="B92" s="26" t="str">
        <f>IFERROR(INDEX(Alumnos!$B$2:$B$31,MATCH($A92,Alumnos!$A$2:$A$31,0))&amp;", "&amp;INDEX(Alumnos!$C$2:$C$31,MATCH($A92,Alumnos!$A$2:$A$31,0)),"")</f>
        <v>Pérez, Emilia</v>
      </c>
      <c r="C92" s="21">
        <v>2</v>
      </c>
      <c r="D92" s="21" t="s">
        <v>88</v>
      </c>
      <c r="E92" s="21" t="s">
        <v>36</v>
      </c>
      <c r="F92" s="21" t="s">
        <v>366</v>
      </c>
      <c r="G92" s="26" t="str">
        <f>IFERROR(INDEX(Profesores!$B$2:$B$12,MATCH($F92,Profesores!$A$2:$A$12,0))&amp;" "&amp;INDEX(Profesores!$C$2:$C$12,MATCH($F92,Profesores!$A$2:$A$12,0)),"")</f>
        <v>Fernández Marcelo</v>
      </c>
      <c r="H92" s="21">
        <v>4</v>
      </c>
      <c r="I92" s="21">
        <v>5</v>
      </c>
      <c r="J92" s="21">
        <v>4</v>
      </c>
      <c r="K92" s="27">
        <f t="shared" si="2"/>
        <v>4.333333333333333</v>
      </c>
      <c r="L92" s="26" t="str">
        <f t="shared" si="3"/>
        <v>Desaprobado</v>
      </c>
      <c r="M92" s="22" t="s">
        <v>421</v>
      </c>
    </row>
    <row r="93" spans="1:13" x14ac:dyDescent="0.2">
      <c r="A93" s="21" t="s">
        <v>204</v>
      </c>
      <c r="B93" s="26" t="str">
        <f>IFERROR(INDEX(Alumnos!$B$2:$B$31,MATCH($A93,Alumnos!$A$2:$A$31,0))&amp;", "&amp;INDEX(Alumnos!$C$2:$C$31,MATCH($A93,Alumnos!$A$2:$A$31,0)),"")</f>
        <v>Aguirre, Camila</v>
      </c>
      <c r="C93" s="21">
        <v>2</v>
      </c>
      <c r="D93" s="21" t="s">
        <v>88</v>
      </c>
      <c r="E93" s="21" t="s">
        <v>36</v>
      </c>
      <c r="F93" s="21" t="s">
        <v>366</v>
      </c>
      <c r="G93" s="26" t="str">
        <f>IFERROR(INDEX(Profesores!$B$2:$B$12,MATCH($F93,Profesores!$A$2:$A$12,0))&amp;" "&amp;INDEX(Profesores!$C$2:$C$12,MATCH($F93,Profesores!$A$2:$A$12,0)),"")</f>
        <v>Fernández Marcelo</v>
      </c>
      <c r="H93" s="21">
        <v>7</v>
      </c>
      <c r="I93" s="21">
        <v>9</v>
      </c>
      <c r="J93" s="21">
        <v>8</v>
      </c>
      <c r="K93" s="27">
        <f t="shared" si="2"/>
        <v>8</v>
      </c>
      <c r="L93" s="26" t="str">
        <f t="shared" si="3"/>
        <v>Aprobado</v>
      </c>
      <c r="M93" s="22" t="s">
        <v>424</v>
      </c>
    </row>
    <row r="94" spans="1:13" ht="25.5" x14ac:dyDescent="0.2">
      <c r="A94" s="21" t="s">
        <v>212</v>
      </c>
      <c r="B94" s="26" t="str">
        <f>IFERROR(INDEX(Alumnos!$B$2:$B$31,MATCH($A94,Alumnos!$A$2:$A$31,0))&amp;", "&amp;INDEX(Alumnos!$C$2:$C$31,MATCH($A94,Alumnos!$A$2:$A$31,0)),"")</f>
        <v>Aguirre, Guadalupe</v>
      </c>
      <c r="C94" s="21">
        <v>2</v>
      </c>
      <c r="D94" s="21" t="s">
        <v>88</v>
      </c>
      <c r="E94" s="21" t="s">
        <v>36</v>
      </c>
      <c r="F94" s="21" t="s">
        <v>366</v>
      </c>
      <c r="G94" s="26" t="str">
        <f>IFERROR(INDEX(Profesores!$B$2:$B$12,MATCH($F94,Profesores!$A$2:$A$12,0))&amp;" "&amp;INDEX(Profesores!$C$2:$C$12,MATCH($F94,Profesores!$A$2:$A$12,0)),"")</f>
        <v>Fernández Marcelo</v>
      </c>
      <c r="H94" s="21">
        <v>6</v>
      </c>
      <c r="I94" s="21">
        <v>4</v>
      </c>
      <c r="J94" s="21">
        <v>5</v>
      </c>
      <c r="K94" s="27">
        <f t="shared" si="2"/>
        <v>5</v>
      </c>
      <c r="L94" s="26" t="str">
        <f t="shared" si="3"/>
        <v>Desaprobado</v>
      </c>
      <c r="M94" s="22" t="s">
        <v>422</v>
      </c>
    </row>
    <row r="95" spans="1:13" x14ac:dyDescent="0.2">
      <c r="A95" s="21" t="s">
        <v>223</v>
      </c>
      <c r="B95" s="26" t="str">
        <f>IFERROR(INDEX(Alumnos!$B$2:$B$31,MATCH($A95,Alumnos!$A$2:$A$31,0))&amp;", "&amp;INDEX(Alumnos!$C$2:$C$31,MATCH($A95,Alumnos!$A$2:$A$31,0)),"")</f>
        <v>Acosta, Bruno</v>
      </c>
      <c r="C95" s="21">
        <v>2</v>
      </c>
      <c r="D95" s="21" t="s">
        <v>88</v>
      </c>
      <c r="E95" s="21" t="s">
        <v>36</v>
      </c>
      <c r="F95" s="21" t="s">
        <v>366</v>
      </c>
      <c r="G95" s="26" t="str">
        <f>IFERROR(INDEX(Profesores!$B$2:$B$12,MATCH($F95,Profesores!$A$2:$A$12,0))&amp;" "&amp;INDEX(Profesores!$C$2:$C$12,MATCH($F95,Profesores!$A$2:$A$12,0)),"")</f>
        <v>Fernández Marcelo</v>
      </c>
      <c r="H95" s="21">
        <v>9</v>
      </c>
      <c r="I95" s="21">
        <v>6</v>
      </c>
      <c r="J95" s="21">
        <v>9</v>
      </c>
      <c r="K95" s="27">
        <f t="shared" si="2"/>
        <v>8</v>
      </c>
      <c r="L95" s="26" t="str">
        <f t="shared" si="3"/>
        <v>Aprobado</v>
      </c>
      <c r="M95" s="22" t="s">
        <v>424</v>
      </c>
    </row>
    <row r="96" spans="1:13" ht="25.5" x14ac:dyDescent="0.2">
      <c r="A96" s="21" t="s">
        <v>232</v>
      </c>
      <c r="B96" s="26" t="str">
        <f>IFERROR(INDEX(Alumnos!$B$2:$B$31,MATCH($A96,Alumnos!$A$2:$A$31,0))&amp;", "&amp;INDEX(Alumnos!$C$2:$C$31,MATCH($A96,Alumnos!$A$2:$A$31,0)),"")</f>
        <v>Flores, Valentina</v>
      </c>
      <c r="C96" s="21">
        <v>2</v>
      </c>
      <c r="D96" s="21" t="s">
        <v>88</v>
      </c>
      <c r="E96" s="21" t="s">
        <v>36</v>
      </c>
      <c r="F96" s="21" t="s">
        <v>366</v>
      </c>
      <c r="G96" s="26" t="str">
        <f>IFERROR(INDEX(Profesores!$B$2:$B$12,MATCH($F96,Profesores!$A$2:$A$12,0))&amp;" "&amp;INDEX(Profesores!$C$2:$C$12,MATCH($F96,Profesores!$A$2:$A$12,0)),"")</f>
        <v>Fernández Marcelo</v>
      </c>
      <c r="H96" s="21">
        <v>4</v>
      </c>
      <c r="I96" s="21">
        <v>9</v>
      </c>
      <c r="J96" s="21">
        <v>5</v>
      </c>
      <c r="K96" s="27">
        <f t="shared" si="2"/>
        <v>6</v>
      </c>
      <c r="L96" s="26" t="str">
        <f t="shared" si="3"/>
        <v>Aprobado</v>
      </c>
      <c r="M96" s="22" t="s">
        <v>422</v>
      </c>
    </row>
    <row r="97" spans="1:13" x14ac:dyDescent="0.2">
      <c r="A97" s="21" t="s">
        <v>239</v>
      </c>
      <c r="B97" s="26" t="str">
        <f>IFERROR(INDEX(Alumnos!$B$2:$B$31,MATCH($A97,Alumnos!$A$2:$A$31,0))&amp;", "&amp;INDEX(Alumnos!$C$2:$C$31,MATCH($A97,Alumnos!$A$2:$A$31,0)),"")</f>
        <v>Aguirre, Juan</v>
      </c>
      <c r="C97" s="21">
        <v>2</v>
      </c>
      <c r="D97" s="21" t="s">
        <v>88</v>
      </c>
      <c r="E97" s="21" t="s">
        <v>36</v>
      </c>
      <c r="F97" s="21" t="s">
        <v>366</v>
      </c>
      <c r="G97" s="26" t="str">
        <f>IFERROR(INDEX(Profesores!$B$2:$B$12,MATCH($F97,Profesores!$A$2:$A$12,0))&amp;" "&amp;INDEX(Profesores!$C$2:$C$12,MATCH($F97,Profesores!$A$2:$A$12,0)),"")</f>
        <v>Fernández Marcelo</v>
      </c>
      <c r="H97" s="21">
        <v>10</v>
      </c>
      <c r="I97" s="21">
        <v>10</v>
      </c>
      <c r="J97" s="21">
        <v>9</v>
      </c>
      <c r="K97" s="27">
        <f t="shared" si="2"/>
        <v>9.6666666666666661</v>
      </c>
      <c r="L97" s="26" t="str">
        <f t="shared" si="3"/>
        <v>Aprobado</v>
      </c>
      <c r="M97" s="22" t="s">
        <v>426</v>
      </c>
    </row>
    <row r="98" spans="1:13" x14ac:dyDescent="0.2">
      <c r="A98" s="21" t="s">
        <v>247</v>
      </c>
      <c r="B98" s="26" t="str">
        <f>IFERROR(INDEX(Alumnos!$B$2:$B$31,MATCH($A98,Alumnos!$A$2:$A$31,0))&amp;", "&amp;INDEX(Alumnos!$C$2:$C$31,MATCH($A98,Alumnos!$A$2:$A$31,0)),"")</f>
        <v>Ruiz, Camila</v>
      </c>
      <c r="C98" s="21">
        <v>2</v>
      </c>
      <c r="D98" s="21" t="s">
        <v>88</v>
      </c>
      <c r="E98" s="21" t="s">
        <v>36</v>
      </c>
      <c r="F98" s="21" t="s">
        <v>366</v>
      </c>
      <c r="G98" s="26" t="str">
        <f>IFERROR(INDEX(Profesores!$B$2:$B$12,MATCH($F98,Profesores!$A$2:$A$12,0))&amp;" "&amp;INDEX(Profesores!$C$2:$C$12,MATCH($F98,Profesores!$A$2:$A$12,0)),"")</f>
        <v>Fernández Marcelo</v>
      </c>
      <c r="H98" s="21">
        <v>9</v>
      </c>
      <c r="I98" s="21">
        <v>10</v>
      </c>
      <c r="J98" s="21">
        <v>5</v>
      </c>
      <c r="K98" s="27">
        <f t="shared" si="2"/>
        <v>8</v>
      </c>
      <c r="L98" s="26" t="str">
        <f t="shared" si="3"/>
        <v>Aprobado</v>
      </c>
      <c r="M98" s="22" t="s">
        <v>421</v>
      </c>
    </row>
    <row r="99" spans="1:13" x14ac:dyDescent="0.2">
      <c r="A99" s="21" t="s">
        <v>255</v>
      </c>
      <c r="B99" s="26" t="str">
        <f>IFERROR(INDEX(Alumnos!$B$2:$B$31,MATCH($A99,Alumnos!$A$2:$A$31,0))&amp;", "&amp;INDEX(Alumnos!$C$2:$C$31,MATCH($A99,Alumnos!$A$2:$A$31,0)),"")</f>
        <v>Castro, Nicolás</v>
      </c>
      <c r="C99" s="21">
        <v>2</v>
      </c>
      <c r="D99" s="21" t="s">
        <v>88</v>
      </c>
      <c r="E99" s="21" t="s">
        <v>36</v>
      </c>
      <c r="F99" s="21" t="s">
        <v>366</v>
      </c>
      <c r="G99" s="26" t="str">
        <f>IFERROR(INDEX(Profesores!$B$2:$B$12,MATCH($F99,Profesores!$A$2:$A$12,0))&amp;" "&amp;INDEX(Profesores!$C$2:$C$12,MATCH($F99,Profesores!$A$2:$A$12,0)),"")</f>
        <v>Fernández Marcelo</v>
      </c>
      <c r="H99" s="21">
        <v>4</v>
      </c>
      <c r="I99" s="21">
        <v>8</v>
      </c>
      <c r="J99" s="21">
        <v>5</v>
      </c>
      <c r="K99" s="27">
        <f t="shared" si="2"/>
        <v>5.666666666666667</v>
      </c>
      <c r="L99" s="26" t="str">
        <f t="shared" si="3"/>
        <v>Desaprobado</v>
      </c>
      <c r="M99" s="22"/>
    </row>
    <row r="100" spans="1:13" x14ac:dyDescent="0.2">
      <c r="A100" s="21" t="s">
        <v>263</v>
      </c>
      <c r="B100" s="26" t="str">
        <f>IFERROR(INDEX(Alumnos!$B$2:$B$31,MATCH($A100,Alumnos!$A$2:$A$31,0))&amp;", "&amp;INDEX(Alumnos!$C$2:$C$31,MATCH($A100,Alumnos!$A$2:$A$31,0)),"")</f>
        <v>Suárez, Julieta</v>
      </c>
      <c r="C100" s="21">
        <v>2</v>
      </c>
      <c r="D100" s="21" t="s">
        <v>88</v>
      </c>
      <c r="E100" s="21" t="s">
        <v>36</v>
      </c>
      <c r="F100" s="21" t="s">
        <v>366</v>
      </c>
      <c r="G100" s="26" t="str">
        <f>IFERROR(INDEX(Profesores!$B$2:$B$12,MATCH($F100,Profesores!$A$2:$A$12,0))&amp;" "&amp;INDEX(Profesores!$C$2:$C$12,MATCH($F100,Profesores!$A$2:$A$12,0)),"")</f>
        <v>Fernández Marcelo</v>
      </c>
      <c r="H100" s="21">
        <v>6</v>
      </c>
      <c r="I100" s="21">
        <v>10</v>
      </c>
      <c r="J100" s="21">
        <v>5</v>
      </c>
      <c r="K100" s="27">
        <f t="shared" si="2"/>
        <v>7</v>
      </c>
      <c r="L100" s="26" t="str">
        <f t="shared" si="3"/>
        <v>Aprobado</v>
      </c>
      <c r="M100" s="22"/>
    </row>
    <row r="101" spans="1:13" ht="25.5" x14ac:dyDescent="0.2">
      <c r="A101" s="21" t="s">
        <v>271</v>
      </c>
      <c r="B101" s="26" t="str">
        <f>IFERROR(INDEX(Alumnos!$B$2:$B$31,MATCH($A101,Alumnos!$A$2:$A$31,0))&amp;", "&amp;INDEX(Alumnos!$C$2:$C$31,MATCH($A101,Alumnos!$A$2:$A$31,0)),"")</f>
        <v>Vega, Benjamín</v>
      </c>
      <c r="C101" s="21">
        <v>2</v>
      </c>
      <c r="D101" s="21" t="s">
        <v>88</v>
      </c>
      <c r="E101" s="21" t="s">
        <v>36</v>
      </c>
      <c r="F101" s="21" t="s">
        <v>366</v>
      </c>
      <c r="G101" s="26" t="str">
        <f>IFERROR(INDEX(Profesores!$B$2:$B$12,MATCH($F101,Profesores!$A$2:$A$12,0))&amp;" "&amp;INDEX(Profesores!$C$2:$C$12,MATCH($F101,Profesores!$A$2:$A$12,0)),"")</f>
        <v>Fernández Marcelo</v>
      </c>
      <c r="H101" s="21">
        <v>4</v>
      </c>
      <c r="I101" s="21">
        <v>5</v>
      </c>
      <c r="J101" s="21">
        <v>10</v>
      </c>
      <c r="K101" s="27">
        <f t="shared" si="2"/>
        <v>6.333333333333333</v>
      </c>
      <c r="L101" s="26" t="str">
        <f t="shared" si="3"/>
        <v>Aprobado</v>
      </c>
      <c r="M101" s="22" t="s">
        <v>422</v>
      </c>
    </row>
    <row r="102" spans="1:13" x14ac:dyDescent="0.2">
      <c r="A102" s="21" t="s">
        <v>197</v>
      </c>
      <c r="B102" s="26" t="str">
        <f>IFERROR(INDEX(Alumnos!$B$2:$B$31,MATCH($A102,Alumnos!$A$2:$A$31,0))&amp;", "&amp;INDEX(Alumnos!$C$2:$C$31,MATCH($A102,Alumnos!$A$2:$A$31,0)),"")</f>
        <v>Pérez, Emilia</v>
      </c>
      <c r="C102" s="21">
        <v>2</v>
      </c>
      <c r="D102" s="21" t="s">
        <v>88</v>
      </c>
      <c r="E102" s="21" t="s">
        <v>33</v>
      </c>
      <c r="F102" s="21" t="s">
        <v>370</v>
      </c>
      <c r="G102" s="26" t="str">
        <f>IFERROR(INDEX(Profesores!$B$2:$B$12,MATCH($F102,Profesores!$A$2:$A$12,0))&amp;" "&amp;INDEX(Profesores!$C$2:$C$12,MATCH($F102,Profesores!$A$2:$A$12,0)),"")</f>
        <v>Rodríguez Ana</v>
      </c>
      <c r="H102" s="21">
        <v>8</v>
      </c>
      <c r="I102" s="21">
        <v>9</v>
      </c>
      <c r="J102" s="21">
        <v>10</v>
      </c>
      <c r="K102" s="27">
        <f t="shared" si="2"/>
        <v>9</v>
      </c>
      <c r="L102" s="26" t="str">
        <f t="shared" si="3"/>
        <v>Aprobado</v>
      </c>
      <c r="M102" s="22" t="s">
        <v>426</v>
      </c>
    </row>
    <row r="103" spans="1:13" x14ac:dyDescent="0.2">
      <c r="A103" s="21" t="s">
        <v>204</v>
      </c>
      <c r="B103" s="26" t="str">
        <f>IFERROR(INDEX(Alumnos!$B$2:$B$31,MATCH($A103,Alumnos!$A$2:$A$31,0))&amp;", "&amp;INDEX(Alumnos!$C$2:$C$31,MATCH($A103,Alumnos!$A$2:$A$31,0)),"")</f>
        <v>Aguirre, Camila</v>
      </c>
      <c r="C103" s="21">
        <v>2</v>
      </c>
      <c r="D103" s="21" t="s">
        <v>88</v>
      </c>
      <c r="E103" s="21" t="s">
        <v>33</v>
      </c>
      <c r="F103" s="21" t="s">
        <v>370</v>
      </c>
      <c r="G103" s="26" t="str">
        <f>IFERROR(INDEX(Profesores!$B$2:$B$12,MATCH($F103,Profesores!$A$2:$A$12,0))&amp;" "&amp;INDEX(Profesores!$C$2:$C$12,MATCH($F103,Profesores!$A$2:$A$12,0)),"")</f>
        <v>Rodríguez Ana</v>
      </c>
      <c r="H103" s="21">
        <v>6</v>
      </c>
      <c r="I103" s="21">
        <v>7</v>
      </c>
      <c r="J103" s="21">
        <v>4</v>
      </c>
      <c r="K103" s="27">
        <f t="shared" si="2"/>
        <v>5.666666666666667</v>
      </c>
      <c r="L103" s="26" t="str">
        <f t="shared" si="3"/>
        <v>Desaprobado</v>
      </c>
      <c r="M103" s="22" t="s">
        <v>424</v>
      </c>
    </row>
    <row r="104" spans="1:13" x14ac:dyDescent="0.2">
      <c r="A104" s="21" t="s">
        <v>212</v>
      </c>
      <c r="B104" s="26" t="str">
        <f>IFERROR(INDEX(Alumnos!$B$2:$B$31,MATCH($A104,Alumnos!$A$2:$A$31,0))&amp;", "&amp;INDEX(Alumnos!$C$2:$C$31,MATCH($A104,Alumnos!$A$2:$A$31,0)),"")</f>
        <v>Aguirre, Guadalupe</v>
      </c>
      <c r="C104" s="21">
        <v>2</v>
      </c>
      <c r="D104" s="21" t="s">
        <v>88</v>
      </c>
      <c r="E104" s="21" t="s">
        <v>33</v>
      </c>
      <c r="F104" s="21" t="s">
        <v>370</v>
      </c>
      <c r="G104" s="26" t="str">
        <f>IFERROR(INDEX(Profesores!$B$2:$B$12,MATCH($F104,Profesores!$A$2:$A$12,0))&amp;" "&amp;INDEX(Profesores!$C$2:$C$12,MATCH($F104,Profesores!$A$2:$A$12,0)),"")</f>
        <v>Rodríguez Ana</v>
      </c>
      <c r="H104" s="21">
        <v>9</v>
      </c>
      <c r="I104" s="21">
        <v>6</v>
      </c>
      <c r="J104" s="21">
        <v>9</v>
      </c>
      <c r="K104" s="27">
        <f t="shared" si="2"/>
        <v>8</v>
      </c>
      <c r="L104" s="26" t="str">
        <f t="shared" si="3"/>
        <v>Aprobado</v>
      </c>
      <c r="M104" s="22" t="s">
        <v>421</v>
      </c>
    </row>
    <row r="105" spans="1:13" x14ac:dyDescent="0.2">
      <c r="A105" s="21" t="s">
        <v>223</v>
      </c>
      <c r="B105" s="26" t="str">
        <f>IFERROR(INDEX(Alumnos!$B$2:$B$31,MATCH($A105,Alumnos!$A$2:$A$31,0))&amp;", "&amp;INDEX(Alumnos!$C$2:$C$31,MATCH($A105,Alumnos!$A$2:$A$31,0)),"")</f>
        <v>Acosta, Bruno</v>
      </c>
      <c r="C105" s="21">
        <v>2</v>
      </c>
      <c r="D105" s="21" t="s">
        <v>88</v>
      </c>
      <c r="E105" s="21" t="s">
        <v>33</v>
      </c>
      <c r="F105" s="21" t="s">
        <v>370</v>
      </c>
      <c r="G105" s="26" t="str">
        <f>IFERROR(INDEX(Profesores!$B$2:$B$12,MATCH($F105,Profesores!$A$2:$A$12,0))&amp;" "&amp;INDEX(Profesores!$C$2:$C$12,MATCH($F105,Profesores!$A$2:$A$12,0)),"")</f>
        <v>Rodríguez Ana</v>
      </c>
      <c r="H105" s="21">
        <v>6</v>
      </c>
      <c r="I105" s="21">
        <v>8</v>
      </c>
      <c r="J105" s="21">
        <v>8</v>
      </c>
      <c r="K105" s="27">
        <f t="shared" si="2"/>
        <v>7.333333333333333</v>
      </c>
      <c r="L105" s="26" t="str">
        <f t="shared" si="3"/>
        <v>Aprobado</v>
      </c>
      <c r="M105" s="22" t="s">
        <v>424</v>
      </c>
    </row>
    <row r="106" spans="1:13" x14ac:dyDescent="0.2">
      <c r="A106" s="21" t="s">
        <v>232</v>
      </c>
      <c r="B106" s="26" t="str">
        <f>IFERROR(INDEX(Alumnos!$B$2:$B$31,MATCH($A106,Alumnos!$A$2:$A$31,0))&amp;", "&amp;INDEX(Alumnos!$C$2:$C$31,MATCH($A106,Alumnos!$A$2:$A$31,0)),"")</f>
        <v>Flores, Valentina</v>
      </c>
      <c r="C106" s="21">
        <v>2</v>
      </c>
      <c r="D106" s="21" t="s">
        <v>88</v>
      </c>
      <c r="E106" s="21" t="s">
        <v>33</v>
      </c>
      <c r="F106" s="21" t="s">
        <v>370</v>
      </c>
      <c r="G106" s="26" t="str">
        <f>IFERROR(INDEX(Profesores!$B$2:$B$12,MATCH($F106,Profesores!$A$2:$A$12,0))&amp;" "&amp;INDEX(Profesores!$C$2:$C$12,MATCH($F106,Profesores!$A$2:$A$12,0)),"")</f>
        <v>Rodríguez Ana</v>
      </c>
      <c r="H106" s="21">
        <v>7</v>
      </c>
      <c r="I106" s="21">
        <v>4</v>
      </c>
      <c r="J106" s="21">
        <v>8</v>
      </c>
      <c r="K106" s="27">
        <f t="shared" si="2"/>
        <v>6.333333333333333</v>
      </c>
      <c r="L106" s="26" t="str">
        <f t="shared" si="3"/>
        <v>Aprobado</v>
      </c>
      <c r="M106" s="22"/>
    </row>
    <row r="107" spans="1:13" x14ac:dyDescent="0.2">
      <c r="A107" s="21" t="s">
        <v>239</v>
      </c>
      <c r="B107" s="26" t="str">
        <f>IFERROR(INDEX(Alumnos!$B$2:$B$31,MATCH($A107,Alumnos!$A$2:$A$31,0))&amp;", "&amp;INDEX(Alumnos!$C$2:$C$31,MATCH($A107,Alumnos!$A$2:$A$31,0)),"")</f>
        <v>Aguirre, Juan</v>
      </c>
      <c r="C107" s="21">
        <v>2</v>
      </c>
      <c r="D107" s="21" t="s">
        <v>88</v>
      </c>
      <c r="E107" s="21" t="s">
        <v>33</v>
      </c>
      <c r="F107" s="21" t="s">
        <v>370</v>
      </c>
      <c r="G107" s="26" t="str">
        <f>IFERROR(INDEX(Profesores!$B$2:$B$12,MATCH($F107,Profesores!$A$2:$A$12,0))&amp;" "&amp;INDEX(Profesores!$C$2:$C$12,MATCH($F107,Profesores!$A$2:$A$12,0)),"")</f>
        <v>Rodríguez Ana</v>
      </c>
      <c r="H107" s="21">
        <v>7</v>
      </c>
      <c r="I107" s="21">
        <v>9</v>
      </c>
      <c r="J107" s="21">
        <v>6</v>
      </c>
      <c r="K107" s="27">
        <f t="shared" si="2"/>
        <v>7.333333333333333</v>
      </c>
      <c r="L107" s="26" t="str">
        <f t="shared" si="3"/>
        <v>Aprobado</v>
      </c>
      <c r="M107" s="22" t="s">
        <v>426</v>
      </c>
    </row>
    <row r="108" spans="1:13" x14ac:dyDescent="0.2">
      <c r="A108" s="21" t="s">
        <v>247</v>
      </c>
      <c r="B108" s="26" t="str">
        <f>IFERROR(INDEX(Alumnos!$B$2:$B$31,MATCH($A108,Alumnos!$A$2:$A$31,0))&amp;", "&amp;INDEX(Alumnos!$C$2:$C$31,MATCH($A108,Alumnos!$A$2:$A$31,0)),"")</f>
        <v>Ruiz, Camila</v>
      </c>
      <c r="C108" s="21">
        <v>2</v>
      </c>
      <c r="D108" s="21" t="s">
        <v>88</v>
      </c>
      <c r="E108" s="21" t="s">
        <v>33</v>
      </c>
      <c r="F108" s="21" t="s">
        <v>370</v>
      </c>
      <c r="G108" s="26" t="str">
        <f>IFERROR(INDEX(Profesores!$B$2:$B$12,MATCH($F108,Profesores!$A$2:$A$12,0))&amp;" "&amp;INDEX(Profesores!$C$2:$C$12,MATCH($F108,Profesores!$A$2:$A$12,0)),"")</f>
        <v>Rodríguez Ana</v>
      </c>
      <c r="H108" s="21">
        <v>6</v>
      </c>
      <c r="I108" s="21">
        <v>4</v>
      </c>
      <c r="J108" s="21">
        <v>4</v>
      </c>
      <c r="K108" s="27">
        <f t="shared" si="2"/>
        <v>4.666666666666667</v>
      </c>
      <c r="L108" s="26" t="str">
        <f t="shared" si="3"/>
        <v>Desaprobado</v>
      </c>
      <c r="M108" s="22" t="s">
        <v>425</v>
      </c>
    </row>
    <row r="109" spans="1:13" x14ac:dyDescent="0.2">
      <c r="A109" s="21" t="s">
        <v>255</v>
      </c>
      <c r="B109" s="26" t="str">
        <f>IFERROR(INDEX(Alumnos!$B$2:$B$31,MATCH($A109,Alumnos!$A$2:$A$31,0))&amp;", "&amp;INDEX(Alumnos!$C$2:$C$31,MATCH($A109,Alumnos!$A$2:$A$31,0)),"")</f>
        <v>Castro, Nicolás</v>
      </c>
      <c r="C109" s="21">
        <v>2</v>
      </c>
      <c r="D109" s="21" t="s">
        <v>88</v>
      </c>
      <c r="E109" s="21" t="s">
        <v>33</v>
      </c>
      <c r="F109" s="21" t="s">
        <v>370</v>
      </c>
      <c r="G109" s="26" t="str">
        <f>IFERROR(INDEX(Profesores!$B$2:$B$12,MATCH($F109,Profesores!$A$2:$A$12,0))&amp;" "&amp;INDEX(Profesores!$C$2:$C$12,MATCH($F109,Profesores!$A$2:$A$12,0)),"")</f>
        <v>Rodríguez Ana</v>
      </c>
      <c r="H109" s="21">
        <v>9</v>
      </c>
      <c r="I109" s="21">
        <v>10</v>
      </c>
      <c r="J109" s="21">
        <v>10</v>
      </c>
      <c r="K109" s="27">
        <f t="shared" si="2"/>
        <v>9.6666666666666661</v>
      </c>
      <c r="L109" s="26" t="str">
        <f t="shared" si="3"/>
        <v>Aprobado</v>
      </c>
      <c r="M109" s="22" t="s">
        <v>426</v>
      </c>
    </row>
    <row r="110" spans="1:13" ht="25.5" x14ac:dyDescent="0.2">
      <c r="A110" s="21" t="s">
        <v>263</v>
      </c>
      <c r="B110" s="26" t="str">
        <f>IFERROR(INDEX(Alumnos!$B$2:$B$31,MATCH($A110,Alumnos!$A$2:$A$31,0))&amp;", "&amp;INDEX(Alumnos!$C$2:$C$31,MATCH($A110,Alumnos!$A$2:$A$31,0)),"")</f>
        <v>Suárez, Julieta</v>
      </c>
      <c r="C110" s="21">
        <v>2</v>
      </c>
      <c r="D110" s="21" t="s">
        <v>88</v>
      </c>
      <c r="E110" s="21" t="s">
        <v>33</v>
      </c>
      <c r="F110" s="21" t="s">
        <v>370</v>
      </c>
      <c r="G110" s="26" t="str">
        <f>IFERROR(INDEX(Profesores!$B$2:$B$12,MATCH($F110,Profesores!$A$2:$A$12,0))&amp;" "&amp;INDEX(Profesores!$C$2:$C$12,MATCH($F110,Profesores!$A$2:$A$12,0)),"")</f>
        <v>Rodríguez Ana</v>
      </c>
      <c r="H110" s="21">
        <v>8</v>
      </c>
      <c r="I110" s="21">
        <v>4</v>
      </c>
      <c r="J110" s="21">
        <v>10</v>
      </c>
      <c r="K110" s="27">
        <f t="shared" si="2"/>
        <v>7.333333333333333</v>
      </c>
      <c r="L110" s="26" t="str">
        <f t="shared" si="3"/>
        <v>Aprobado</v>
      </c>
      <c r="M110" s="22" t="s">
        <v>422</v>
      </c>
    </row>
    <row r="111" spans="1:13" x14ac:dyDescent="0.2">
      <c r="A111" s="21" t="s">
        <v>271</v>
      </c>
      <c r="B111" s="26" t="str">
        <f>IFERROR(INDEX(Alumnos!$B$2:$B$31,MATCH($A111,Alumnos!$A$2:$A$31,0))&amp;", "&amp;INDEX(Alumnos!$C$2:$C$31,MATCH($A111,Alumnos!$A$2:$A$31,0)),"")</f>
        <v>Vega, Benjamín</v>
      </c>
      <c r="C111" s="21">
        <v>2</v>
      </c>
      <c r="D111" s="21" t="s">
        <v>88</v>
      </c>
      <c r="E111" s="21" t="s">
        <v>33</v>
      </c>
      <c r="F111" s="21" t="s">
        <v>370</v>
      </c>
      <c r="G111" s="26" t="str">
        <f>IFERROR(INDEX(Profesores!$B$2:$B$12,MATCH($F111,Profesores!$A$2:$A$12,0))&amp;" "&amp;INDEX(Profesores!$C$2:$C$12,MATCH($F111,Profesores!$A$2:$A$12,0)),"")</f>
        <v>Rodríguez Ana</v>
      </c>
      <c r="H111" s="21">
        <v>8</v>
      </c>
      <c r="I111" s="21">
        <v>4</v>
      </c>
      <c r="J111" s="21">
        <v>10</v>
      </c>
      <c r="K111" s="27">
        <f t="shared" si="2"/>
        <v>7.333333333333333</v>
      </c>
      <c r="L111" s="26" t="str">
        <f t="shared" si="3"/>
        <v>Aprobado</v>
      </c>
      <c r="M111" s="22"/>
    </row>
    <row r="112" spans="1:13" x14ac:dyDescent="0.2">
      <c r="A112" s="21" t="s">
        <v>197</v>
      </c>
      <c r="B112" s="26" t="str">
        <f>IFERROR(INDEX(Alumnos!$B$2:$B$31,MATCH($A112,Alumnos!$A$2:$A$31,0))&amp;", "&amp;INDEX(Alumnos!$C$2:$C$31,MATCH($A112,Alumnos!$A$2:$A$31,0)),"")</f>
        <v>Pérez, Emilia</v>
      </c>
      <c r="C112" s="21">
        <v>2</v>
      </c>
      <c r="D112" s="21" t="s">
        <v>88</v>
      </c>
      <c r="E112" s="21" t="s">
        <v>32</v>
      </c>
      <c r="F112" s="21" t="s">
        <v>374</v>
      </c>
      <c r="G112" s="26" t="str">
        <f>IFERROR(INDEX(Profesores!$B$2:$B$12,MATCH($F112,Profesores!$A$2:$A$12,0))&amp;" "&amp;INDEX(Profesores!$C$2:$C$12,MATCH($F112,Profesores!$A$2:$A$12,0)),"")</f>
        <v>Pérez Diego</v>
      </c>
      <c r="H112" s="21">
        <v>7</v>
      </c>
      <c r="I112" s="21">
        <v>8</v>
      </c>
      <c r="J112" s="21">
        <v>9</v>
      </c>
      <c r="K112" s="27">
        <f t="shared" si="2"/>
        <v>8</v>
      </c>
      <c r="L112" s="26" t="str">
        <f t="shared" si="3"/>
        <v>Aprobado</v>
      </c>
      <c r="M112" s="22" t="s">
        <v>424</v>
      </c>
    </row>
    <row r="113" spans="1:13" x14ac:dyDescent="0.2">
      <c r="A113" s="21" t="s">
        <v>204</v>
      </c>
      <c r="B113" s="26" t="str">
        <f>IFERROR(INDEX(Alumnos!$B$2:$B$31,MATCH($A113,Alumnos!$A$2:$A$31,0))&amp;", "&amp;INDEX(Alumnos!$C$2:$C$31,MATCH($A113,Alumnos!$A$2:$A$31,0)),"")</f>
        <v>Aguirre, Camila</v>
      </c>
      <c r="C113" s="21">
        <v>2</v>
      </c>
      <c r="D113" s="21" t="s">
        <v>88</v>
      </c>
      <c r="E113" s="21" t="s">
        <v>32</v>
      </c>
      <c r="F113" s="21" t="s">
        <v>374</v>
      </c>
      <c r="G113" s="26" t="str">
        <f>IFERROR(INDEX(Profesores!$B$2:$B$12,MATCH($F113,Profesores!$A$2:$A$12,0))&amp;" "&amp;INDEX(Profesores!$C$2:$C$12,MATCH($F113,Profesores!$A$2:$A$12,0)),"")</f>
        <v>Pérez Diego</v>
      </c>
      <c r="H113" s="21">
        <v>6</v>
      </c>
      <c r="I113" s="21">
        <v>5</v>
      </c>
      <c r="J113" s="21">
        <v>8</v>
      </c>
      <c r="K113" s="27">
        <f t="shared" si="2"/>
        <v>6.333333333333333</v>
      </c>
      <c r="L113" s="26" t="str">
        <f t="shared" si="3"/>
        <v>Aprobado</v>
      </c>
      <c r="M113" s="22" t="s">
        <v>421</v>
      </c>
    </row>
    <row r="114" spans="1:13" x14ac:dyDescent="0.2">
      <c r="A114" s="21" t="s">
        <v>212</v>
      </c>
      <c r="B114" s="26" t="str">
        <f>IFERROR(INDEX(Alumnos!$B$2:$B$31,MATCH($A114,Alumnos!$A$2:$A$31,0))&amp;", "&amp;INDEX(Alumnos!$C$2:$C$31,MATCH($A114,Alumnos!$A$2:$A$31,0)),"")</f>
        <v>Aguirre, Guadalupe</v>
      </c>
      <c r="C114" s="21">
        <v>2</v>
      </c>
      <c r="D114" s="21" t="s">
        <v>88</v>
      </c>
      <c r="E114" s="21" t="s">
        <v>32</v>
      </c>
      <c r="F114" s="21" t="s">
        <v>374</v>
      </c>
      <c r="G114" s="26" t="str">
        <f>IFERROR(INDEX(Profesores!$B$2:$B$12,MATCH($F114,Profesores!$A$2:$A$12,0))&amp;" "&amp;INDEX(Profesores!$C$2:$C$12,MATCH($F114,Profesores!$A$2:$A$12,0)),"")</f>
        <v>Pérez Diego</v>
      </c>
      <c r="H114" s="21">
        <v>9</v>
      </c>
      <c r="I114" s="21">
        <v>10</v>
      </c>
      <c r="J114" s="21">
        <v>7</v>
      </c>
      <c r="K114" s="27">
        <f t="shared" si="2"/>
        <v>8.6666666666666661</v>
      </c>
      <c r="L114" s="26" t="str">
        <f t="shared" si="3"/>
        <v>Aprobado</v>
      </c>
      <c r="M114" s="22"/>
    </row>
    <row r="115" spans="1:13" x14ac:dyDescent="0.2">
      <c r="A115" s="21" t="s">
        <v>223</v>
      </c>
      <c r="B115" s="26" t="str">
        <f>IFERROR(INDEX(Alumnos!$B$2:$B$31,MATCH($A115,Alumnos!$A$2:$A$31,0))&amp;", "&amp;INDEX(Alumnos!$C$2:$C$31,MATCH($A115,Alumnos!$A$2:$A$31,0)),"")</f>
        <v>Acosta, Bruno</v>
      </c>
      <c r="C115" s="21">
        <v>2</v>
      </c>
      <c r="D115" s="21" t="s">
        <v>88</v>
      </c>
      <c r="E115" s="21" t="s">
        <v>32</v>
      </c>
      <c r="F115" s="21" t="s">
        <v>374</v>
      </c>
      <c r="G115" s="26" t="str">
        <f>IFERROR(INDEX(Profesores!$B$2:$B$12,MATCH($F115,Profesores!$A$2:$A$12,0))&amp;" "&amp;INDEX(Profesores!$C$2:$C$12,MATCH($F115,Profesores!$A$2:$A$12,0)),"")</f>
        <v>Pérez Diego</v>
      </c>
      <c r="H115" s="21">
        <v>7</v>
      </c>
      <c r="I115" s="21">
        <v>6</v>
      </c>
      <c r="J115" s="21">
        <v>7</v>
      </c>
      <c r="K115" s="27">
        <f t="shared" si="2"/>
        <v>6.666666666666667</v>
      </c>
      <c r="L115" s="26" t="str">
        <f t="shared" si="3"/>
        <v>Aprobado</v>
      </c>
      <c r="M115" s="22" t="s">
        <v>420</v>
      </c>
    </row>
    <row r="116" spans="1:13" x14ac:dyDescent="0.2">
      <c r="A116" s="21" t="s">
        <v>232</v>
      </c>
      <c r="B116" s="26" t="str">
        <f>IFERROR(INDEX(Alumnos!$B$2:$B$31,MATCH($A116,Alumnos!$A$2:$A$31,0))&amp;", "&amp;INDEX(Alumnos!$C$2:$C$31,MATCH($A116,Alumnos!$A$2:$A$31,0)),"")</f>
        <v>Flores, Valentina</v>
      </c>
      <c r="C116" s="21">
        <v>2</v>
      </c>
      <c r="D116" s="21" t="s">
        <v>88</v>
      </c>
      <c r="E116" s="21" t="s">
        <v>32</v>
      </c>
      <c r="F116" s="21" t="s">
        <v>374</v>
      </c>
      <c r="G116" s="26" t="str">
        <f>IFERROR(INDEX(Profesores!$B$2:$B$12,MATCH($F116,Profesores!$A$2:$A$12,0))&amp;" "&amp;INDEX(Profesores!$C$2:$C$12,MATCH($F116,Profesores!$A$2:$A$12,0)),"")</f>
        <v>Pérez Diego</v>
      </c>
      <c r="H116" s="21">
        <v>6</v>
      </c>
      <c r="I116" s="21">
        <v>9</v>
      </c>
      <c r="J116" s="21">
        <v>4</v>
      </c>
      <c r="K116" s="27">
        <f t="shared" si="2"/>
        <v>6.333333333333333</v>
      </c>
      <c r="L116" s="26" t="str">
        <f t="shared" si="3"/>
        <v>Aprobado</v>
      </c>
      <c r="M116" s="22"/>
    </row>
    <row r="117" spans="1:13" x14ac:dyDescent="0.2">
      <c r="A117" s="21" t="s">
        <v>239</v>
      </c>
      <c r="B117" s="26" t="str">
        <f>IFERROR(INDEX(Alumnos!$B$2:$B$31,MATCH($A117,Alumnos!$A$2:$A$31,0))&amp;", "&amp;INDEX(Alumnos!$C$2:$C$31,MATCH($A117,Alumnos!$A$2:$A$31,0)),"")</f>
        <v>Aguirre, Juan</v>
      </c>
      <c r="C117" s="21">
        <v>2</v>
      </c>
      <c r="D117" s="21" t="s">
        <v>88</v>
      </c>
      <c r="E117" s="21" t="s">
        <v>32</v>
      </c>
      <c r="F117" s="21" t="s">
        <v>374</v>
      </c>
      <c r="G117" s="26" t="str">
        <f>IFERROR(INDEX(Profesores!$B$2:$B$12,MATCH($F117,Profesores!$A$2:$A$12,0))&amp;" "&amp;INDEX(Profesores!$C$2:$C$12,MATCH($F117,Profesores!$A$2:$A$12,0)),"")</f>
        <v>Pérez Diego</v>
      </c>
      <c r="H117" s="21">
        <v>6</v>
      </c>
      <c r="I117" s="21">
        <v>7</v>
      </c>
      <c r="J117" s="21">
        <v>9</v>
      </c>
      <c r="K117" s="27">
        <f t="shared" si="2"/>
        <v>7.333333333333333</v>
      </c>
      <c r="L117" s="26" t="str">
        <f t="shared" si="3"/>
        <v>Aprobado</v>
      </c>
      <c r="M117" s="22" t="s">
        <v>424</v>
      </c>
    </row>
    <row r="118" spans="1:13" x14ac:dyDescent="0.2">
      <c r="A118" s="21" t="s">
        <v>247</v>
      </c>
      <c r="B118" s="26" t="str">
        <f>IFERROR(INDEX(Alumnos!$B$2:$B$31,MATCH($A118,Alumnos!$A$2:$A$31,0))&amp;", "&amp;INDEX(Alumnos!$C$2:$C$31,MATCH($A118,Alumnos!$A$2:$A$31,0)),"")</f>
        <v>Ruiz, Camila</v>
      </c>
      <c r="C118" s="21">
        <v>2</v>
      </c>
      <c r="D118" s="21" t="s">
        <v>88</v>
      </c>
      <c r="E118" s="21" t="s">
        <v>32</v>
      </c>
      <c r="F118" s="21" t="s">
        <v>374</v>
      </c>
      <c r="G118" s="26" t="str">
        <f>IFERROR(INDEX(Profesores!$B$2:$B$12,MATCH($F118,Profesores!$A$2:$A$12,0))&amp;" "&amp;INDEX(Profesores!$C$2:$C$12,MATCH($F118,Profesores!$A$2:$A$12,0)),"")</f>
        <v>Pérez Diego</v>
      </c>
      <c r="H118" s="21">
        <v>6</v>
      </c>
      <c r="I118" s="21">
        <v>9</v>
      </c>
      <c r="J118" s="21">
        <v>7</v>
      </c>
      <c r="K118" s="27">
        <f t="shared" si="2"/>
        <v>7.333333333333333</v>
      </c>
      <c r="L118" s="26" t="str">
        <f t="shared" si="3"/>
        <v>Aprobado</v>
      </c>
      <c r="M118" s="22" t="s">
        <v>423</v>
      </c>
    </row>
    <row r="119" spans="1:13" x14ac:dyDescent="0.2">
      <c r="A119" s="21" t="s">
        <v>255</v>
      </c>
      <c r="B119" s="26" t="str">
        <f>IFERROR(INDEX(Alumnos!$B$2:$B$31,MATCH($A119,Alumnos!$A$2:$A$31,0))&amp;", "&amp;INDEX(Alumnos!$C$2:$C$31,MATCH($A119,Alumnos!$A$2:$A$31,0)),"")</f>
        <v>Castro, Nicolás</v>
      </c>
      <c r="C119" s="21">
        <v>2</v>
      </c>
      <c r="D119" s="21" t="s">
        <v>88</v>
      </c>
      <c r="E119" s="21" t="s">
        <v>32</v>
      </c>
      <c r="F119" s="21" t="s">
        <v>374</v>
      </c>
      <c r="G119" s="26" t="str">
        <f>IFERROR(INDEX(Profesores!$B$2:$B$12,MATCH($F119,Profesores!$A$2:$A$12,0))&amp;" "&amp;INDEX(Profesores!$C$2:$C$12,MATCH($F119,Profesores!$A$2:$A$12,0)),"")</f>
        <v>Pérez Diego</v>
      </c>
      <c r="H119" s="21">
        <v>4</v>
      </c>
      <c r="I119" s="21">
        <v>7</v>
      </c>
      <c r="J119" s="21">
        <v>4</v>
      </c>
      <c r="K119" s="27">
        <f t="shared" si="2"/>
        <v>5</v>
      </c>
      <c r="L119" s="26" t="str">
        <f t="shared" si="3"/>
        <v>Desaprobado</v>
      </c>
      <c r="M119" s="22" t="s">
        <v>420</v>
      </c>
    </row>
    <row r="120" spans="1:13" x14ac:dyDescent="0.2">
      <c r="A120" s="21" t="s">
        <v>263</v>
      </c>
      <c r="B120" s="26" t="str">
        <f>IFERROR(INDEX(Alumnos!$B$2:$B$31,MATCH($A120,Alumnos!$A$2:$A$31,0))&amp;", "&amp;INDEX(Alumnos!$C$2:$C$31,MATCH($A120,Alumnos!$A$2:$A$31,0)),"")</f>
        <v>Suárez, Julieta</v>
      </c>
      <c r="C120" s="21">
        <v>2</v>
      </c>
      <c r="D120" s="21" t="s">
        <v>88</v>
      </c>
      <c r="E120" s="21" t="s">
        <v>32</v>
      </c>
      <c r="F120" s="21" t="s">
        <v>374</v>
      </c>
      <c r="G120" s="26" t="str">
        <f>IFERROR(INDEX(Profesores!$B$2:$B$12,MATCH($F120,Profesores!$A$2:$A$12,0))&amp;" "&amp;INDEX(Profesores!$C$2:$C$12,MATCH($F120,Profesores!$A$2:$A$12,0)),"")</f>
        <v>Pérez Diego</v>
      </c>
      <c r="H120" s="21">
        <v>6</v>
      </c>
      <c r="I120" s="21">
        <v>6</v>
      </c>
      <c r="J120" s="21">
        <v>4</v>
      </c>
      <c r="K120" s="27">
        <f t="shared" si="2"/>
        <v>5.333333333333333</v>
      </c>
      <c r="L120" s="26" t="str">
        <f t="shared" si="3"/>
        <v>Desaprobado</v>
      </c>
      <c r="M120" s="22" t="s">
        <v>421</v>
      </c>
    </row>
    <row r="121" spans="1:13" x14ac:dyDescent="0.2">
      <c r="A121" s="21" t="s">
        <v>271</v>
      </c>
      <c r="B121" s="26" t="str">
        <f>IFERROR(INDEX(Alumnos!$B$2:$B$31,MATCH($A121,Alumnos!$A$2:$A$31,0))&amp;", "&amp;INDEX(Alumnos!$C$2:$C$31,MATCH($A121,Alumnos!$A$2:$A$31,0)),"")</f>
        <v>Vega, Benjamín</v>
      </c>
      <c r="C121" s="21">
        <v>2</v>
      </c>
      <c r="D121" s="21" t="s">
        <v>88</v>
      </c>
      <c r="E121" s="21" t="s">
        <v>32</v>
      </c>
      <c r="F121" s="21" t="s">
        <v>374</v>
      </c>
      <c r="G121" s="26" t="str">
        <f>IFERROR(INDEX(Profesores!$B$2:$B$12,MATCH($F121,Profesores!$A$2:$A$12,0))&amp;" "&amp;INDEX(Profesores!$C$2:$C$12,MATCH($F121,Profesores!$A$2:$A$12,0)),"")</f>
        <v>Pérez Diego</v>
      </c>
      <c r="H121" s="21">
        <v>10</v>
      </c>
      <c r="I121" s="21">
        <v>8</v>
      </c>
      <c r="J121" s="21">
        <v>10</v>
      </c>
      <c r="K121" s="27">
        <f t="shared" si="2"/>
        <v>9.3333333333333339</v>
      </c>
      <c r="L121" s="26" t="str">
        <f t="shared" si="3"/>
        <v>Aprobado</v>
      </c>
      <c r="M121" s="22"/>
    </row>
    <row r="122" spans="1:13" x14ac:dyDescent="0.2">
      <c r="A122" s="21" t="s">
        <v>197</v>
      </c>
      <c r="B122" s="26" t="str">
        <f>IFERROR(INDEX(Alumnos!$B$2:$B$31,MATCH($A122,Alumnos!$A$2:$A$31,0))&amp;", "&amp;INDEX(Alumnos!$C$2:$C$31,MATCH($A122,Alumnos!$A$2:$A$31,0)),"")</f>
        <v>Pérez, Emilia</v>
      </c>
      <c r="C122" s="21">
        <v>2</v>
      </c>
      <c r="D122" s="21" t="s">
        <v>88</v>
      </c>
      <c r="E122" s="21" t="s">
        <v>31</v>
      </c>
      <c r="F122" s="21" t="s">
        <v>396</v>
      </c>
      <c r="G122" s="26" t="str">
        <f>IFERROR(INDEX(Profesores!$B$2:$B$12,MATCH($F122,Profesores!$A$2:$A$12,0))&amp;" "&amp;INDEX(Profesores!$C$2:$C$12,MATCH($F122,Profesores!$A$2:$A$12,0)),"")</f>
        <v>Ramírez Gustavo</v>
      </c>
      <c r="H122" s="21">
        <v>9</v>
      </c>
      <c r="I122" s="21">
        <v>10</v>
      </c>
      <c r="J122" s="21">
        <v>8</v>
      </c>
      <c r="K122" s="27">
        <f t="shared" si="2"/>
        <v>9</v>
      </c>
      <c r="L122" s="26" t="str">
        <f t="shared" si="3"/>
        <v>Aprobado</v>
      </c>
      <c r="M122" s="22" t="s">
        <v>424</v>
      </c>
    </row>
    <row r="123" spans="1:13" x14ac:dyDescent="0.2">
      <c r="A123" s="21" t="s">
        <v>204</v>
      </c>
      <c r="B123" s="26" t="str">
        <f>IFERROR(INDEX(Alumnos!$B$2:$B$31,MATCH($A123,Alumnos!$A$2:$A$31,0))&amp;", "&amp;INDEX(Alumnos!$C$2:$C$31,MATCH($A123,Alumnos!$A$2:$A$31,0)),"")</f>
        <v>Aguirre, Camila</v>
      </c>
      <c r="C123" s="21">
        <v>2</v>
      </c>
      <c r="D123" s="21" t="s">
        <v>88</v>
      </c>
      <c r="E123" s="21" t="s">
        <v>31</v>
      </c>
      <c r="F123" s="21" t="s">
        <v>396</v>
      </c>
      <c r="G123" s="26" t="str">
        <f>IFERROR(INDEX(Profesores!$B$2:$B$12,MATCH($F123,Profesores!$A$2:$A$12,0))&amp;" "&amp;INDEX(Profesores!$C$2:$C$12,MATCH($F123,Profesores!$A$2:$A$12,0)),"")</f>
        <v>Ramírez Gustavo</v>
      </c>
      <c r="H123" s="21">
        <v>7</v>
      </c>
      <c r="I123" s="21">
        <v>4</v>
      </c>
      <c r="J123" s="21">
        <v>5</v>
      </c>
      <c r="K123" s="27">
        <f t="shared" si="2"/>
        <v>5.333333333333333</v>
      </c>
      <c r="L123" s="26" t="str">
        <f t="shared" si="3"/>
        <v>Desaprobado</v>
      </c>
      <c r="M123" s="22" t="s">
        <v>423</v>
      </c>
    </row>
    <row r="124" spans="1:13" x14ac:dyDescent="0.2">
      <c r="A124" s="21" t="s">
        <v>212</v>
      </c>
      <c r="B124" s="26" t="str">
        <f>IFERROR(INDEX(Alumnos!$B$2:$B$31,MATCH($A124,Alumnos!$A$2:$A$31,0))&amp;", "&amp;INDEX(Alumnos!$C$2:$C$31,MATCH($A124,Alumnos!$A$2:$A$31,0)),"")</f>
        <v>Aguirre, Guadalupe</v>
      </c>
      <c r="C124" s="21">
        <v>2</v>
      </c>
      <c r="D124" s="21" t="s">
        <v>88</v>
      </c>
      <c r="E124" s="21" t="s">
        <v>31</v>
      </c>
      <c r="F124" s="21" t="s">
        <v>396</v>
      </c>
      <c r="G124" s="26" t="str">
        <f>IFERROR(INDEX(Profesores!$B$2:$B$12,MATCH($F124,Profesores!$A$2:$A$12,0))&amp;" "&amp;INDEX(Profesores!$C$2:$C$12,MATCH($F124,Profesores!$A$2:$A$12,0)),"")</f>
        <v>Ramírez Gustavo</v>
      </c>
      <c r="H124" s="21">
        <v>6</v>
      </c>
      <c r="I124" s="21">
        <v>8</v>
      </c>
      <c r="J124" s="21">
        <v>10</v>
      </c>
      <c r="K124" s="27">
        <f t="shared" si="2"/>
        <v>8</v>
      </c>
      <c r="L124" s="26" t="str">
        <f t="shared" si="3"/>
        <v>Aprobado</v>
      </c>
      <c r="M124" s="22" t="s">
        <v>424</v>
      </c>
    </row>
    <row r="125" spans="1:13" x14ac:dyDescent="0.2">
      <c r="A125" s="21" t="s">
        <v>223</v>
      </c>
      <c r="B125" s="26" t="str">
        <f>IFERROR(INDEX(Alumnos!$B$2:$B$31,MATCH($A125,Alumnos!$A$2:$A$31,0))&amp;", "&amp;INDEX(Alumnos!$C$2:$C$31,MATCH($A125,Alumnos!$A$2:$A$31,0)),"")</f>
        <v>Acosta, Bruno</v>
      </c>
      <c r="C125" s="21">
        <v>2</v>
      </c>
      <c r="D125" s="21" t="s">
        <v>88</v>
      </c>
      <c r="E125" s="21" t="s">
        <v>31</v>
      </c>
      <c r="F125" s="21" t="s">
        <v>396</v>
      </c>
      <c r="G125" s="26" t="str">
        <f>IFERROR(INDEX(Profesores!$B$2:$B$12,MATCH($F125,Profesores!$A$2:$A$12,0))&amp;" "&amp;INDEX(Profesores!$C$2:$C$12,MATCH($F125,Profesores!$A$2:$A$12,0)),"")</f>
        <v>Ramírez Gustavo</v>
      </c>
      <c r="H125" s="21">
        <v>9</v>
      </c>
      <c r="I125" s="21">
        <v>7</v>
      </c>
      <c r="J125" s="21">
        <v>10</v>
      </c>
      <c r="K125" s="27">
        <f t="shared" si="2"/>
        <v>8.6666666666666661</v>
      </c>
      <c r="L125" s="26" t="str">
        <f t="shared" si="3"/>
        <v>Aprobado</v>
      </c>
      <c r="M125" s="22"/>
    </row>
    <row r="126" spans="1:13" x14ac:dyDescent="0.2">
      <c r="A126" s="21" t="s">
        <v>232</v>
      </c>
      <c r="B126" s="26" t="str">
        <f>IFERROR(INDEX(Alumnos!$B$2:$B$31,MATCH($A126,Alumnos!$A$2:$A$31,0))&amp;", "&amp;INDEX(Alumnos!$C$2:$C$31,MATCH($A126,Alumnos!$A$2:$A$31,0)),"")</f>
        <v>Flores, Valentina</v>
      </c>
      <c r="C126" s="21">
        <v>2</v>
      </c>
      <c r="D126" s="21" t="s">
        <v>88</v>
      </c>
      <c r="E126" s="21" t="s">
        <v>31</v>
      </c>
      <c r="F126" s="21" t="s">
        <v>396</v>
      </c>
      <c r="G126" s="26" t="str">
        <f>IFERROR(INDEX(Profesores!$B$2:$B$12,MATCH($F126,Profesores!$A$2:$A$12,0))&amp;" "&amp;INDEX(Profesores!$C$2:$C$12,MATCH($F126,Profesores!$A$2:$A$12,0)),"")</f>
        <v>Ramírez Gustavo</v>
      </c>
      <c r="H126" s="21">
        <v>5</v>
      </c>
      <c r="I126" s="21">
        <v>6</v>
      </c>
      <c r="J126" s="21">
        <v>8</v>
      </c>
      <c r="K126" s="27">
        <f t="shared" si="2"/>
        <v>6.333333333333333</v>
      </c>
      <c r="L126" s="26" t="str">
        <f t="shared" si="3"/>
        <v>Aprobado</v>
      </c>
      <c r="M126" s="22"/>
    </row>
    <row r="127" spans="1:13" x14ac:dyDescent="0.2">
      <c r="A127" s="21" t="s">
        <v>239</v>
      </c>
      <c r="B127" s="26" t="str">
        <f>IFERROR(INDEX(Alumnos!$B$2:$B$31,MATCH($A127,Alumnos!$A$2:$A$31,0))&amp;", "&amp;INDEX(Alumnos!$C$2:$C$31,MATCH($A127,Alumnos!$A$2:$A$31,0)),"")</f>
        <v>Aguirre, Juan</v>
      </c>
      <c r="C127" s="21">
        <v>2</v>
      </c>
      <c r="D127" s="21" t="s">
        <v>88</v>
      </c>
      <c r="E127" s="21" t="s">
        <v>31</v>
      </c>
      <c r="F127" s="21" t="s">
        <v>396</v>
      </c>
      <c r="G127" s="26" t="str">
        <f>IFERROR(INDEX(Profesores!$B$2:$B$12,MATCH($F127,Profesores!$A$2:$A$12,0))&amp;" "&amp;INDEX(Profesores!$C$2:$C$12,MATCH($F127,Profesores!$A$2:$A$12,0)),"")</f>
        <v>Ramírez Gustavo</v>
      </c>
      <c r="H127" s="21">
        <v>6</v>
      </c>
      <c r="I127" s="21">
        <v>7</v>
      </c>
      <c r="J127" s="21">
        <v>9</v>
      </c>
      <c r="K127" s="27">
        <f t="shared" si="2"/>
        <v>7.333333333333333</v>
      </c>
      <c r="L127" s="26" t="str">
        <f t="shared" si="3"/>
        <v>Aprobado</v>
      </c>
      <c r="M127" s="22" t="s">
        <v>424</v>
      </c>
    </row>
    <row r="128" spans="1:13" x14ac:dyDescent="0.2">
      <c r="A128" s="21" t="s">
        <v>247</v>
      </c>
      <c r="B128" s="26" t="str">
        <f>IFERROR(INDEX(Alumnos!$B$2:$B$31,MATCH($A128,Alumnos!$A$2:$A$31,0))&amp;", "&amp;INDEX(Alumnos!$C$2:$C$31,MATCH($A128,Alumnos!$A$2:$A$31,0)),"")</f>
        <v>Ruiz, Camila</v>
      </c>
      <c r="C128" s="21">
        <v>2</v>
      </c>
      <c r="D128" s="21" t="s">
        <v>88</v>
      </c>
      <c r="E128" s="21" t="s">
        <v>31</v>
      </c>
      <c r="F128" s="21" t="s">
        <v>396</v>
      </c>
      <c r="G128" s="26" t="str">
        <f>IFERROR(INDEX(Profesores!$B$2:$B$12,MATCH($F128,Profesores!$A$2:$A$12,0))&amp;" "&amp;INDEX(Profesores!$C$2:$C$12,MATCH($F128,Profesores!$A$2:$A$12,0)),"")</f>
        <v>Ramírez Gustavo</v>
      </c>
      <c r="H128" s="21">
        <v>4</v>
      </c>
      <c r="I128" s="21">
        <v>4</v>
      </c>
      <c r="J128" s="21">
        <v>9</v>
      </c>
      <c r="K128" s="27">
        <f t="shared" si="2"/>
        <v>5.666666666666667</v>
      </c>
      <c r="L128" s="26" t="str">
        <f t="shared" si="3"/>
        <v>Desaprobado</v>
      </c>
      <c r="M128" s="22" t="s">
        <v>426</v>
      </c>
    </row>
    <row r="129" spans="1:13" x14ac:dyDescent="0.2">
      <c r="A129" s="21" t="s">
        <v>255</v>
      </c>
      <c r="B129" s="26" t="str">
        <f>IFERROR(INDEX(Alumnos!$B$2:$B$31,MATCH($A129,Alumnos!$A$2:$A$31,0))&amp;", "&amp;INDEX(Alumnos!$C$2:$C$31,MATCH($A129,Alumnos!$A$2:$A$31,0)),"")</f>
        <v>Castro, Nicolás</v>
      </c>
      <c r="C129" s="21">
        <v>2</v>
      </c>
      <c r="D129" s="21" t="s">
        <v>88</v>
      </c>
      <c r="E129" s="21" t="s">
        <v>31</v>
      </c>
      <c r="F129" s="21" t="s">
        <v>396</v>
      </c>
      <c r="G129" s="26" t="str">
        <f>IFERROR(INDEX(Profesores!$B$2:$B$12,MATCH($F129,Profesores!$A$2:$A$12,0))&amp;" "&amp;INDEX(Profesores!$C$2:$C$12,MATCH($F129,Profesores!$A$2:$A$12,0)),"")</f>
        <v>Ramírez Gustavo</v>
      </c>
      <c r="H129" s="21">
        <v>10</v>
      </c>
      <c r="I129" s="21">
        <v>5</v>
      </c>
      <c r="J129" s="21">
        <v>9</v>
      </c>
      <c r="K129" s="27">
        <f t="shared" si="2"/>
        <v>8</v>
      </c>
      <c r="L129" s="26" t="str">
        <f t="shared" si="3"/>
        <v>Aprobado</v>
      </c>
      <c r="M129" s="22"/>
    </row>
    <row r="130" spans="1:13" x14ac:dyDescent="0.2">
      <c r="A130" s="21" t="s">
        <v>263</v>
      </c>
      <c r="B130" s="26" t="str">
        <f>IFERROR(INDEX(Alumnos!$B$2:$B$31,MATCH($A130,Alumnos!$A$2:$A$31,0))&amp;", "&amp;INDEX(Alumnos!$C$2:$C$31,MATCH($A130,Alumnos!$A$2:$A$31,0)),"")</f>
        <v>Suárez, Julieta</v>
      </c>
      <c r="C130" s="21">
        <v>2</v>
      </c>
      <c r="D130" s="21" t="s">
        <v>88</v>
      </c>
      <c r="E130" s="21" t="s">
        <v>31</v>
      </c>
      <c r="F130" s="21" t="s">
        <v>396</v>
      </c>
      <c r="G130" s="26" t="str">
        <f>IFERROR(INDEX(Profesores!$B$2:$B$12,MATCH($F130,Profesores!$A$2:$A$12,0))&amp;" "&amp;INDEX(Profesores!$C$2:$C$12,MATCH($F130,Profesores!$A$2:$A$12,0)),"")</f>
        <v>Ramírez Gustavo</v>
      </c>
      <c r="H130" s="21">
        <v>6</v>
      </c>
      <c r="I130" s="21">
        <v>8</v>
      </c>
      <c r="J130" s="21">
        <v>4</v>
      </c>
      <c r="K130" s="27">
        <f t="shared" ref="K130:K193" si="4">IFERROR(AVERAGE($H130:$J130),"")</f>
        <v>6</v>
      </c>
      <c r="L130" s="26" t="str">
        <f t="shared" ref="L130:L193" si="5">IF($K130="","",IF($K130&gt;=6,"Aprobado","Desaprobado"))</f>
        <v>Aprobado</v>
      </c>
      <c r="M130" s="22" t="s">
        <v>423</v>
      </c>
    </row>
    <row r="131" spans="1:13" x14ac:dyDescent="0.2">
      <c r="A131" s="21" t="s">
        <v>271</v>
      </c>
      <c r="B131" s="26" t="str">
        <f>IFERROR(INDEX(Alumnos!$B$2:$B$31,MATCH($A131,Alumnos!$A$2:$A$31,0))&amp;", "&amp;INDEX(Alumnos!$C$2:$C$31,MATCH($A131,Alumnos!$A$2:$A$31,0)),"")</f>
        <v>Vega, Benjamín</v>
      </c>
      <c r="C131" s="21">
        <v>2</v>
      </c>
      <c r="D131" s="21" t="s">
        <v>88</v>
      </c>
      <c r="E131" s="21" t="s">
        <v>31</v>
      </c>
      <c r="F131" s="21" t="s">
        <v>396</v>
      </c>
      <c r="G131" s="26" t="str">
        <f>IFERROR(INDEX(Profesores!$B$2:$B$12,MATCH($F131,Profesores!$A$2:$A$12,0))&amp;" "&amp;INDEX(Profesores!$C$2:$C$12,MATCH($F131,Profesores!$A$2:$A$12,0)),"")</f>
        <v>Ramírez Gustavo</v>
      </c>
      <c r="H131" s="21">
        <v>7</v>
      </c>
      <c r="I131" s="21">
        <v>4</v>
      </c>
      <c r="J131" s="21">
        <v>5</v>
      </c>
      <c r="K131" s="27">
        <f t="shared" si="4"/>
        <v>5.333333333333333</v>
      </c>
      <c r="L131" s="26" t="str">
        <f t="shared" si="5"/>
        <v>Desaprobado</v>
      </c>
      <c r="M131" s="22"/>
    </row>
    <row r="132" spans="1:13" x14ac:dyDescent="0.2">
      <c r="A132" s="21" t="s">
        <v>197</v>
      </c>
      <c r="B132" s="26" t="str">
        <f>IFERROR(INDEX(Alumnos!$B$2:$B$31,MATCH($A132,Alumnos!$A$2:$A$31,0))&amp;", "&amp;INDEX(Alumnos!$C$2:$C$31,MATCH($A132,Alumnos!$A$2:$A$31,0)),"")</f>
        <v>Pérez, Emilia</v>
      </c>
      <c r="C132" s="21">
        <v>2</v>
      </c>
      <c r="D132" s="21" t="s">
        <v>88</v>
      </c>
      <c r="E132" s="21" t="s">
        <v>34</v>
      </c>
      <c r="F132" s="21" t="s">
        <v>383</v>
      </c>
      <c r="G132" s="26" t="str">
        <f>IFERROR(INDEX(Profesores!$B$2:$B$12,MATCH($F132,Profesores!$A$2:$A$12,0))&amp;" "&amp;INDEX(Profesores!$C$2:$C$12,MATCH($F132,Profesores!$A$2:$A$12,0)),"")</f>
        <v>Martínez Julián</v>
      </c>
      <c r="H132" s="21">
        <v>7</v>
      </c>
      <c r="I132" s="21">
        <v>4</v>
      </c>
      <c r="J132" s="21">
        <v>9</v>
      </c>
      <c r="K132" s="27">
        <f t="shared" si="4"/>
        <v>6.666666666666667</v>
      </c>
      <c r="L132" s="26" t="str">
        <f t="shared" si="5"/>
        <v>Aprobado</v>
      </c>
      <c r="M132" s="22"/>
    </row>
    <row r="133" spans="1:13" x14ac:dyDescent="0.2">
      <c r="A133" s="21" t="s">
        <v>204</v>
      </c>
      <c r="B133" s="26" t="str">
        <f>IFERROR(INDEX(Alumnos!$B$2:$B$31,MATCH($A133,Alumnos!$A$2:$A$31,0))&amp;", "&amp;INDEX(Alumnos!$C$2:$C$31,MATCH($A133,Alumnos!$A$2:$A$31,0)),"")</f>
        <v>Aguirre, Camila</v>
      </c>
      <c r="C133" s="21">
        <v>2</v>
      </c>
      <c r="D133" s="21" t="s">
        <v>88</v>
      </c>
      <c r="E133" s="21" t="s">
        <v>34</v>
      </c>
      <c r="F133" s="21" t="s">
        <v>383</v>
      </c>
      <c r="G133" s="26" t="str">
        <f>IFERROR(INDEX(Profesores!$B$2:$B$12,MATCH($F133,Profesores!$A$2:$A$12,0))&amp;" "&amp;INDEX(Profesores!$C$2:$C$12,MATCH($F133,Profesores!$A$2:$A$12,0)),"")</f>
        <v>Martínez Julián</v>
      </c>
      <c r="H133" s="21">
        <v>7</v>
      </c>
      <c r="I133" s="21">
        <v>9</v>
      </c>
      <c r="J133" s="21">
        <v>6</v>
      </c>
      <c r="K133" s="27">
        <f t="shared" si="4"/>
        <v>7.333333333333333</v>
      </c>
      <c r="L133" s="26" t="str">
        <f t="shared" si="5"/>
        <v>Aprobado</v>
      </c>
      <c r="M133" s="22" t="s">
        <v>423</v>
      </c>
    </row>
    <row r="134" spans="1:13" x14ac:dyDescent="0.2">
      <c r="A134" s="21" t="s">
        <v>212</v>
      </c>
      <c r="B134" s="26" t="str">
        <f>IFERROR(INDEX(Alumnos!$B$2:$B$31,MATCH($A134,Alumnos!$A$2:$A$31,0))&amp;", "&amp;INDEX(Alumnos!$C$2:$C$31,MATCH($A134,Alumnos!$A$2:$A$31,0)),"")</f>
        <v>Aguirre, Guadalupe</v>
      </c>
      <c r="C134" s="21">
        <v>2</v>
      </c>
      <c r="D134" s="21" t="s">
        <v>88</v>
      </c>
      <c r="E134" s="21" t="s">
        <v>34</v>
      </c>
      <c r="F134" s="21" t="s">
        <v>383</v>
      </c>
      <c r="G134" s="26" t="str">
        <f>IFERROR(INDEX(Profesores!$B$2:$B$12,MATCH($F134,Profesores!$A$2:$A$12,0))&amp;" "&amp;INDEX(Profesores!$C$2:$C$12,MATCH($F134,Profesores!$A$2:$A$12,0)),"")</f>
        <v>Martínez Julián</v>
      </c>
      <c r="H134" s="21">
        <v>9</v>
      </c>
      <c r="I134" s="21">
        <v>6</v>
      </c>
      <c r="J134" s="21">
        <v>7</v>
      </c>
      <c r="K134" s="27">
        <f t="shared" si="4"/>
        <v>7.333333333333333</v>
      </c>
      <c r="L134" s="26" t="str">
        <f t="shared" si="5"/>
        <v>Aprobado</v>
      </c>
      <c r="M134" s="22" t="s">
        <v>424</v>
      </c>
    </row>
    <row r="135" spans="1:13" x14ac:dyDescent="0.2">
      <c r="A135" s="21" t="s">
        <v>223</v>
      </c>
      <c r="B135" s="26" t="str">
        <f>IFERROR(INDEX(Alumnos!$B$2:$B$31,MATCH($A135,Alumnos!$A$2:$A$31,0))&amp;", "&amp;INDEX(Alumnos!$C$2:$C$31,MATCH($A135,Alumnos!$A$2:$A$31,0)),"")</f>
        <v>Acosta, Bruno</v>
      </c>
      <c r="C135" s="21">
        <v>2</v>
      </c>
      <c r="D135" s="21" t="s">
        <v>88</v>
      </c>
      <c r="E135" s="21" t="s">
        <v>34</v>
      </c>
      <c r="F135" s="21" t="s">
        <v>383</v>
      </c>
      <c r="G135" s="26" t="str">
        <f>IFERROR(INDEX(Profesores!$B$2:$B$12,MATCH($F135,Profesores!$A$2:$A$12,0))&amp;" "&amp;INDEX(Profesores!$C$2:$C$12,MATCH($F135,Profesores!$A$2:$A$12,0)),"")</f>
        <v>Martínez Julián</v>
      </c>
      <c r="H135" s="21">
        <v>7</v>
      </c>
      <c r="I135" s="21">
        <v>5</v>
      </c>
      <c r="J135" s="21">
        <v>7</v>
      </c>
      <c r="K135" s="27">
        <f t="shared" si="4"/>
        <v>6.333333333333333</v>
      </c>
      <c r="L135" s="26" t="str">
        <f t="shared" si="5"/>
        <v>Aprobado</v>
      </c>
      <c r="M135" s="22" t="s">
        <v>423</v>
      </c>
    </row>
    <row r="136" spans="1:13" x14ac:dyDescent="0.2">
      <c r="A136" s="21" t="s">
        <v>232</v>
      </c>
      <c r="B136" s="26" t="str">
        <f>IFERROR(INDEX(Alumnos!$B$2:$B$31,MATCH($A136,Alumnos!$A$2:$A$31,0))&amp;", "&amp;INDEX(Alumnos!$C$2:$C$31,MATCH($A136,Alumnos!$A$2:$A$31,0)),"")</f>
        <v>Flores, Valentina</v>
      </c>
      <c r="C136" s="21">
        <v>2</v>
      </c>
      <c r="D136" s="21" t="s">
        <v>88</v>
      </c>
      <c r="E136" s="21" t="s">
        <v>34</v>
      </c>
      <c r="F136" s="21" t="s">
        <v>383</v>
      </c>
      <c r="G136" s="26" t="str">
        <f>IFERROR(INDEX(Profesores!$B$2:$B$12,MATCH($F136,Profesores!$A$2:$A$12,0))&amp;" "&amp;INDEX(Profesores!$C$2:$C$12,MATCH($F136,Profesores!$A$2:$A$12,0)),"")</f>
        <v>Martínez Julián</v>
      </c>
      <c r="H136" s="21">
        <v>5</v>
      </c>
      <c r="I136" s="21">
        <v>7</v>
      </c>
      <c r="J136" s="21">
        <v>5</v>
      </c>
      <c r="K136" s="27">
        <f t="shared" si="4"/>
        <v>5.666666666666667</v>
      </c>
      <c r="L136" s="26" t="str">
        <f t="shared" si="5"/>
        <v>Desaprobado</v>
      </c>
      <c r="M136" s="22" t="s">
        <v>426</v>
      </c>
    </row>
    <row r="137" spans="1:13" x14ac:dyDescent="0.2">
      <c r="A137" s="21" t="s">
        <v>239</v>
      </c>
      <c r="B137" s="26" t="str">
        <f>IFERROR(INDEX(Alumnos!$B$2:$B$31,MATCH($A137,Alumnos!$A$2:$A$31,0))&amp;", "&amp;INDEX(Alumnos!$C$2:$C$31,MATCH($A137,Alumnos!$A$2:$A$31,0)),"")</f>
        <v>Aguirre, Juan</v>
      </c>
      <c r="C137" s="21">
        <v>2</v>
      </c>
      <c r="D137" s="21" t="s">
        <v>88</v>
      </c>
      <c r="E137" s="21" t="s">
        <v>34</v>
      </c>
      <c r="F137" s="21" t="s">
        <v>383</v>
      </c>
      <c r="G137" s="26" t="str">
        <f>IFERROR(INDEX(Profesores!$B$2:$B$12,MATCH($F137,Profesores!$A$2:$A$12,0))&amp;" "&amp;INDEX(Profesores!$C$2:$C$12,MATCH($F137,Profesores!$A$2:$A$12,0)),"")</f>
        <v>Martínez Julián</v>
      </c>
      <c r="H137" s="21">
        <v>8</v>
      </c>
      <c r="I137" s="21">
        <v>9</v>
      </c>
      <c r="J137" s="21">
        <v>5</v>
      </c>
      <c r="K137" s="27">
        <f t="shared" si="4"/>
        <v>7.333333333333333</v>
      </c>
      <c r="L137" s="26" t="str">
        <f t="shared" si="5"/>
        <v>Aprobado</v>
      </c>
      <c r="M137" s="22"/>
    </row>
    <row r="138" spans="1:13" x14ac:dyDescent="0.2">
      <c r="A138" s="21" t="s">
        <v>247</v>
      </c>
      <c r="B138" s="26" t="str">
        <f>IFERROR(INDEX(Alumnos!$B$2:$B$31,MATCH($A138,Alumnos!$A$2:$A$31,0))&amp;", "&amp;INDEX(Alumnos!$C$2:$C$31,MATCH($A138,Alumnos!$A$2:$A$31,0)),"")</f>
        <v>Ruiz, Camila</v>
      </c>
      <c r="C138" s="21">
        <v>2</v>
      </c>
      <c r="D138" s="21" t="s">
        <v>88</v>
      </c>
      <c r="E138" s="21" t="s">
        <v>34</v>
      </c>
      <c r="F138" s="21" t="s">
        <v>383</v>
      </c>
      <c r="G138" s="26" t="str">
        <f>IFERROR(INDEX(Profesores!$B$2:$B$12,MATCH($F138,Profesores!$A$2:$A$12,0))&amp;" "&amp;INDEX(Profesores!$C$2:$C$12,MATCH($F138,Profesores!$A$2:$A$12,0)),"")</f>
        <v>Martínez Julián</v>
      </c>
      <c r="H138" s="21">
        <v>6</v>
      </c>
      <c r="I138" s="21">
        <v>10</v>
      </c>
      <c r="J138" s="21">
        <v>10</v>
      </c>
      <c r="K138" s="27">
        <f t="shared" si="4"/>
        <v>8.6666666666666661</v>
      </c>
      <c r="L138" s="26" t="str">
        <f t="shared" si="5"/>
        <v>Aprobado</v>
      </c>
      <c r="M138" s="22" t="s">
        <v>421</v>
      </c>
    </row>
    <row r="139" spans="1:13" ht="25.5" x14ac:dyDescent="0.2">
      <c r="A139" s="21" t="s">
        <v>255</v>
      </c>
      <c r="B139" s="26" t="str">
        <f>IFERROR(INDEX(Alumnos!$B$2:$B$31,MATCH($A139,Alumnos!$A$2:$A$31,0))&amp;", "&amp;INDEX(Alumnos!$C$2:$C$31,MATCH($A139,Alumnos!$A$2:$A$31,0)),"")</f>
        <v>Castro, Nicolás</v>
      </c>
      <c r="C139" s="21">
        <v>2</v>
      </c>
      <c r="D139" s="21" t="s">
        <v>88</v>
      </c>
      <c r="E139" s="21" t="s">
        <v>34</v>
      </c>
      <c r="F139" s="21" t="s">
        <v>383</v>
      </c>
      <c r="G139" s="26" t="str">
        <f>IFERROR(INDEX(Profesores!$B$2:$B$12,MATCH($F139,Profesores!$A$2:$A$12,0))&amp;" "&amp;INDEX(Profesores!$C$2:$C$12,MATCH($F139,Profesores!$A$2:$A$12,0)),"")</f>
        <v>Martínez Julián</v>
      </c>
      <c r="H139" s="21">
        <v>6</v>
      </c>
      <c r="I139" s="21">
        <v>10</v>
      </c>
      <c r="J139" s="21">
        <v>8</v>
      </c>
      <c r="K139" s="27">
        <f t="shared" si="4"/>
        <v>8</v>
      </c>
      <c r="L139" s="26" t="str">
        <f t="shared" si="5"/>
        <v>Aprobado</v>
      </c>
      <c r="M139" s="22" t="s">
        <v>422</v>
      </c>
    </row>
    <row r="140" spans="1:13" ht="25.5" x14ac:dyDescent="0.2">
      <c r="A140" s="21" t="s">
        <v>263</v>
      </c>
      <c r="B140" s="26" t="str">
        <f>IFERROR(INDEX(Alumnos!$B$2:$B$31,MATCH($A140,Alumnos!$A$2:$A$31,0))&amp;", "&amp;INDEX(Alumnos!$C$2:$C$31,MATCH($A140,Alumnos!$A$2:$A$31,0)),"")</f>
        <v>Suárez, Julieta</v>
      </c>
      <c r="C140" s="21">
        <v>2</v>
      </c>
      <c r="D140" s="21" t="s">
        <v>88</v>
      </c>
      <c r="E140" s="21" t="s">
        <v>34</v>
      </c>
      <c r="F140" s="21" t="s">
        <v>383</v>
      </c>
      <c r="G140" s="26" t="str">
        <f>IFERROR(INDEX(Profesores!$B$2:$B$12,MATCH($F140,Profesores!$A$2:$A$12,0))&amp;" "&amp;INDEX(Profesores!$C$2:$C$12,MATCH($F140,Profesores!$A$2:$A$12,0)),"")</f>
        <v>Martínez Julián</v>
      </c>
      <c r="H140" s="21">
        <v>10</v>
      </c>
      <c r="I140" s="21">
        <v>4</v>
      </c>
      <c r="J140" s="21">
        <v>6</v>
      </c>
      <c r="K140" s="27">
        <f t="shared" si="4"/>
        <v>6.666666666666667</v>
      </c>
      <c r="L140" s="26" t="str">
        <f t="shared" si="5"/>
        <v>Aprobado</v>
      </c>
      <c r="M140" s="22" t="s">
        <v>422</v>
      </c>
    </row>
    <row r="141" spans="1:13" x14ac:dyDescent="0.2">
      <c r="A141" s="21" t="s">
        <v>271</v>
      </c>
      <c r="B141" s="26" t="str">
        <f>IFERROR(INDEX(Alumnos!$B$2:$B$31,MATCH($A141,Alumnos!$A$2:$A$31,0))&amp;", "&amp;INDEX(Alumnos!$C$2:$C$31,MATCH($A141,Alumnos!$A$2:$A$31,0)),"")</f>
        <v>Vega, Benjamín</v>
      </c>
      <c r="C141" s="21">
        <v>2</v>
      </c>
      <c r="D141" s="21" t="s">
        <v>88</v>
      </c>
      <c r="E141" s="21" t="s">
        <v>34</v>
      </c>
      <c r="F141" s="21" t="s">
        <v>383</v>
      </c>
      <c r="G141" s="26" t="str">
        <f>IFERROR(INDEX(Profesores!$B$2:$B$12,MATCH($F141,Profesores!$A$2:$A$12,0))&amp;" "&amp;INDEX(Profesores!$C$2:$C$12,MATCH($F141,Profesores!$A$2:$A$12,0)),"")</f>
        <v>Martínez Julián</v>
      </c>
      <c r="H141" s="21">
        <v>10</v>
      </c>
      <c r="I141" s="21">
        <v>8</v>
      </c>
      <c r="J141" s="21">
        <v>8</v>
      </c>
      <c r="K141" s="27">
        <f t="shared" si="4"/>
        <v>8.6666666666666661</v>
      </c>
      <c r="L141" s="26" t="str">
        <f t="shared" si="5"/>
        <v>Aprobado</v>
      </c>
      <c r="M141" s="22" t="s">
        <v>424</v>
      </c>
    </row>
    <row r="142" spans="1:13" x14ac:dyDescent="0.2">
      <c r="A142" s="21" t="s">
        <v>197</v>
      </c>
      <c r="B142" s="26" t="str">
        <f>IFERROR(INDEX(Alumnos!$B$2:$B$31,MATCH($A142,Alumnos!$A$2:$A$31,0))&amp;", "&amp;INDEX(Alumnos!$C$2:$C$31,MATCH($A142,Alumnos!$A$2:$A$31,0)),"")</f>
        <v>Pérez, Emilia</v>
      </c>
      <c r="C142" s="21">
        <v>2</v>
      </c>
      <c r="D142" s="21" t="s">
        <v>88</v>
      </c>
      <c r="E142" s="21" t="s">
        <v>28</v>
      </c>
      <c r="F142" s="21" t="s">
        <v>387</v>
      </c>
      <c r="G142" s="26" t="str">
        <f>IFERROR(INDEX(Profesores!$B$2:$B$12,MATCH($F142,Profesores!$A$2:$A$12,0))&amp;" "&amp;INDEX(Profesores!$C$2:$C$12,MATCH($F142,Profesores!$A$2:$A$12,0)),"")</f>
        <v>Sánchez Pablo</v>
      </c>
      <c r="H142" s="21">
        <v>10</v>
      </c>
      <c r="I142" s="21">
        <v>5</v>
      </c>
      <c r="J142" s="21">
        <v>7</v>
      </c>
      <c r="K142" s="27">
        <f t="shared" si="4"/>
        <v>7.333333333333333</v>
      </c>
      <c r="L142" s="26" t="str">
        <f t="shared" si="5"/>
        <v>Aprobado</v>
      </c>
      <c r="M142" s="22" t="s">
        <v>423</v>
      </c>
    </row>
    <row r="143" spans="1:13" x14ac:dyDescent="0.2">
      <c r="A143" s="21" t="s">
        <v>204</v>
      </c>
      <c r="B143" s="26" t="str">
        <f>IFERROR(INDEX(Alumnos!$B$2:$B$31,MATCH($A143,Alumnos!$A$2:$A$31,0))&amp;", "&amp;INDEX(Alumnos!$C$2:$C$31,MATCH($A143,Alumnos!$A$2:$A$31,0)),"")</f>
        <v>Aguirre, Camila</v>
      </c>
      <c r="C143" s="21">
        <v>2</v>
      </c>
      <c r="D143" s="21" t="s">
        <v>88</v>
      </c>
      <c r="E143" s="21" t="s">
        <v>28</v>
      </c>
      <c r="F143" s="21" t="s">
        <v>387</v>
      </c>
      <c r="G143" s="26" t="str">
        <f>IFERROR(INDEX(Profesores!$B$2:$B$12,MATCH($F143,Profesores!$A$2:$A$12,0))&amp;" "&amp;INDEX(Profesores!$C$2:$C$12,MATCH($F143,Profesores!$A$2:$A$12,0)),"")</f>
        <v>Sánchez Pablo</v>
      </c>
      <c r="H143" s="21">
        <v>7</v>
      </c>
      <c r="I143" s="21">
        <v>6</v>
      </c>
      <c r="J143" s="21">
        <v>6</v>
      </c>
      <c r="K143" s="27">
        <f t="shared" si="4"/>
        <v>6.333333333333333</v>
      </c>
      <c r="L143" s="26" t="str">
        <f t="shared" si="5"/>
        <v>Aprobado</v>
      </c>
      <c r="M143" s="22" t="s">
        <v>423</v>
      </c>
    </row>
    <row r="144" spans="1:13" x14ac:dyDescent="0.2">
      <c r="A144" s="21" t="s">
        <v>212</v>
      </c>
      <c r="B144" s="26" t="str">
        <f>IFERROR(INDEX(Alumnos!$B$2:$B$31,MATCH($A144,Alumnos!$A$2:$A$31,0))&amp;", "&amp;INDEX(Alumnos!$C$2:$C$31,MATCH($A144,Alumnos!$A$2:$A$31,0)),"")</f>
        <v>Aguirre, Guadalupe</v>
      </c>
      <c r="C144" s="21">
        <v>2</v>
      </c>
      <c r="D144" s="21" t="s">
        <v>88</v>
      </c>
      <c r="E144" s="21" t="s">
        <v>28</v>
      </c>
      <c r="F144" s="21" t="s">
        <v>387</v>
      </c>
      <c r="G144" s="26" t="str">
        <f>IFERROR(INDEX(Profesores!$B$2:$B$12,MATCH($F144,Profesores!$A$2:$A$12,0))&amp;" "&amp;INDEX(Profesores!$C$2:$C$12,MATCH($F144,Profesores!$A$2:$A$12,0)),"")</f>
        <v>Sánchez Pablo</v>
      </c>
      <c r="H144" s="21">
        <v>10</v>
      </c>
      <c r="I144" s="21">
        <v>8</v>
      </c>
      <c r="J144" s="21">
        <v>7</v>
      </c>
      <c r="K144" s="27">
        <f t="shared" si="4"/>
        <v>8.3333333333333339</v>
      </c>
      <c r="L144" s="26" t="str">
        <f t="shared" si="5"/>
        <v>Aprobado</v>
      </c>
      <c r="M144" s="22" t="s">
        <v>424</v>
      </c>
    </row>
    <row r="145" spans="1:13" x14ac:dyDescent="0.2">
      <c r="A145" s="21" t="s">
        <v>223</v>
      </c>
      <c r="B145" s="26" t="str">
        <f>IFERROR(INDEX(Alumnos!$B$2:$B$31,MATCH($A145,Alumnos!$A$2:$A$31,0))&amp;", "&amp;INDEX(Alumnos!$C$2:$C$31,MATCH($A145,Alumnos!$A$2:$A$31,0)),"")</f>
        <v>Acosta, Bruno</v>
      </c>
      <c r="C145" s="21">
        <v>2</v>
      </c>
      <c r="D145" s="21" t="s">
        <v>88</v>
      </c>
      <c r="E145" s="21" t="s">
        <v>28</v>
      </c>
      <c r="F145" s="21" t="s">
        <v>387</v>
      </c>
      <c r="G145" s="26" t="str">
        <f>IFERROR(INDEX(Profesores!$B$2:$B$12,MATCH($F145,Profesores!$A$2:$A$12,0))&amp;" "&amp;INDEX(Profesores!$C$2:$C$12,MATCH($F145,Profesores!$A$2:$A$12,0)),"")</f>
        <v>Sánchez Pablo</v>
      </c>
      <c r="H145" s="21">
        <v>6</v>
      </c>
      <c r="I145" s="21">
        <v>10</v>
      </c>
      <c r="J145" s="21">
        <v>5</v>
      </c>
      <c r="K145" s="27">
        <f t="shared" si="4"/>
        <v>7</v>
      </c>
      <c r="L145" s="26" t="str">
        <f t="shared" si="5"/>
        <v>Aprobado</v>
      </c>
      <c r="M145" s="22" t="s">
        <v>425</v>
      </c>
    </row>
    <row r="146" spans="1:13" x14ac:dyDescent="0.2">
      <c r="A146" s="21" t="s">
        <v>232</v>
      </c>
      <c r="B146" s="26" t="str">
        <f>IFERROR(INDEX(Alumnos!$B$2:$B$31,MATCH($A146,Alumnos!$A$2:$A$31,0))&amp;", "&amp;INDEX(Alumnos!$C$2:$C$31,MATCH($A146,Alumnos!$A$2:$A$31,0)),"")</f>
        <v>Flores, Valentina</v>
      </c>
      <c r="C146" s="21">
        <v>2</v>
      </c>
      <c r="D146" s="21" t="s">
        <v>88</v>
      </c>
      <c r="E146" s="21" t="s">
        <v>28</v>
      </c>
      <c r="F146" s="21" t="s">
        <v>387</v>
      </c>
      <c r="G146" s="26" t="str">
        <f>IFERROR(INDEX(Profesores!$B$2:$B$12,MATCH($F146,Profesores!$A$2:$A$12,0))&amp;" "&amp;INDEX(Profesores!$C$2:$C$12,MATCH($F146,Profesores!$A$2:$A$12,0)),"")</f>
        <v>Sánchez Pablo</v>
      </c>
      <c r="H146" s="21">
        <v>8</v>
      </c>
      <c r="I146" s="21">
        <v>7</v>
      </c>
      <c r="J146" s="21">
        <v>5</v>
      </c>
      <c r="K146" s="27">
        <f t="shared" si="4"/>
        <v>6.666666666666667</v>
      </c>
      <c r="L146" s="26" t="str">
        <f t="shared" si="5"/>
        <v>Aprobado</v>
      </c>
      <c r="M146" s="22" t="s">
        <v>421</v>
      </c>
    </row>
    <row r="147" spans="1:13" x14ac:dyDescent="0.2">
      <c r="A147" s="21" t="s">
        <v>239</v>
      </c>
      <c r="B147" s="26" t="str">
        <f>IFERROR(INDEX(Alumnos!$B$2:$B$31,MATCH($A147,Alumnos!$A$2:$A$31,0))&amp;", "&amp;INDEX(Alumnos!$C$2:$C$31,MATCH($A147,Alumnos!$A$2:$A$31,0)),"")</f>
        <v>Aguirre, Juan</v>
      </c>
      <c r="C147" s="21">
        <v>2</v>
      </c>
      <c r="D147" s="21" t="s">
        <v>88</v>
      </c>
      <c r="E147" s="21" t="s">
        <v>28</v>
      </c>
      <c r="F147" s="21" t="s">
        <v>387</v>
      </c>
      <c r="G147" s="26" t="str">
        <f>IFERROR(INDEX(Profesores!$B$2:$B$12,MATCH($F147,Profesores!$A$2:$A$12,0))&amp;" "&amp;INDEX(Profesores!$C$2:$C$12,MATCH($F147,Profesores!$A$2:$A$12,0)),"")</f>
        <v>Sánchez Pablo</v>
      </c>
      <c r="H147" s="21">
        <v>4</v>
      </c>
      <c r="I147" s="21">
        <v>6</v>
      </c>
      <c r="J147" s="21">
        <v>9</v>
      </c>
      <c r="K147" s="27">
        <f t="shared" si="4"/>
        <v>6.333333333333333</v>
      </c>
      <c r="L147" s="26" t="str">
        <f t="shared" si="5"/>
        <v>Aprobado</v>
      </c>
      <c r="M147" s="22" t="s">
        <v>424</v>
      </c>
    </row>
    <row r="148" spans="1:13" x14ac:dyDescent="0.2">
      <c r="A148" s="21" t="s">
        <v>247</v>
      </c>
      <c r="B148" s="26" t="str">
        <f>IFERROR(INDEX(Alumnos!$B$2:$B$31,MATCH($A148,Alumnos!$A$2:$A$31,0))&amp;", "&amp;INDEX(Alumnos!$C$2:$C$31,MATCH($A148,Alumnos!$A$2:$A$31,0)),"")</f>
        <v>Ruiz, Camila</v>
      </c>
      <c r="C148" s="21">
        <v>2</v>
      </c>
      <c r="D148" s="21" t="s">
        <v>88</v>
      </c>
      <c r="E148" s="21" t="s">
        <v>28</v>
      </c>
      <c r="F148" s="21" t="s">
        <v>387</v>
      </c>
      <c r="G148" s="26" t="str">
        <f>IFERROR(INDEX(Profesores!$B$2:$B$12,MATCH($F148,Profesores!$A$2:$A$12,0))&amp;" "&amp;INDEX(Profesores!$C$2:$C$12,MATCH($F148,Profesores!$A$2:$A$12,0)),"")</f>
        <v>Sánchez Pablo</v>
      </c>
      <c r="H148" s="21">
        <v>9</v>
      </c>
      <c r="I148" s="21">
        <v>10</v>
      </c>
      <c r="J148" s="21">
        <v>7</v>
      </c>
      <c r="K148" s="27">
        <f t="shared" si="4"/>
        <v>8.6666666666666661</v>
      </c>
      <c r="L148" s="26" t="str">
        <f t="shared" si="5"/>
        <v>Aprobado</v>
      </c>
      <c r="M148" s="22" t="s">
        <v>421</v>
      </c>
    </row>
    <row r="149" spans="1:13" x14ac:dyDescent="0.2">
      <c r="A149" s="21" t="s">
        <v>255</v>
      </c>
      <c r="B149" s="26" t="str">
        <f>IFERROR(INDEX(Alumnos!$B$2:$B$31,MATCH($A149,Alumnos!$A$2:$A$31,0))&amp;", "&amp;INDEX(Alumnos!$C$2:$C$31,MATCH($A149,Alumnos!$A$2:$A$31,0)),"")</f>
        <v>Castro, Nicolás</v>
      </c>
      <c r="C149" s="21">
        <v>2</v>
      </c>
      <c r="D149" s="21" t="s">
        <v>88</v>
      </c>
      <c r="E149" s="21" t="s">
        <v>28</v>
      </c>
      <c r="F149" s="21" t="s">
        <v>387</v>
      </c>
      <c r="G149" s="26" t="str">
        <f>IFERROR(INDEX(Profesores!$B$2:$B$12,MATCH($F149,Profesores!$A$2:$A$12,0))&amp;" "&amp;INDEX(Profesores!$C$2:$C$12,MATCH($F149,Profesores!$A$2:$A$12,0)),"")</f>
        <v>Sánchez Pablo</v>
      </c>
      <c r="H149" s="21">
        <v>9</v>
      </c>
      <c r="I149" s="21">
        <v>10</v>
      </c>
      <c r="J149" s="21">
        <v>10</v>
      </c>
      <c r="K149" s="27">
        <f t="shared" si="4"/>
        <v>9.6666666666666661</v>
      </c>
      <c r="L149" s="26" t="str">
        <f t="shared" si="5"/>
        <v>Aprobado</v>
      </c>
      <c r="M149" s="22"/>
    </row>
    <row r="150" spans="1:13" x14ac:dyDescent="0.2">
      <c r="A150" s="21" t="s">
        <v>263</v>
      </c>
      <c r="B150" s="26" t="str">
        <f>IFERROR(INDEX(Alumnos!$B$2:$B$31,MATCH($A150,Alumnos!$A$2:$A$31,0))&amp;", "&amp;INDEX(Alumnos!$C$2:$C$31,MATCH($A150,Alumnos!$A$2:$A$31,0)),"")</f>
        <v>Suárez, Julieta</v>
      </c>
      <c r="C150" s="21">
        <v>2</v>
      </c>
      <c r="D150" s="21" t="s">
        <v>88</v>
      </c>
      <c r="E150" s="21" t="s">
        <v>28</v>
      </c>
      <c r="F150" s="21" t="s">
        <v>387</v>
      </c>
      <c r="G150" s="26" t="str">
        <f>IFERROR(INDEX(Profesores!$B$2:$B$12,MATCH($F150,Profesores!$A$2:$A$12,0))&amp;" "&amp;INDEX(Profesores!$C$2:$C$12,MATCH($F150,Profesores!$A$2:$A$12,0)),"")</f>
        <v>Sánchez Pablo</v>
      </c>
      <c r="H150" s="21">
        <v>7</v>
      </c>
      <c r="I150" s="21">
        <v>4</v>
      </c>
      <c r="J150" s="21">
        <v>5</v>
      </c>
      <c r="K150" s="27">
        <f t="shared" si="4"/>
        <v>5.333333333333333</v>
      </c>
      <c r="L150" s="26" t="str">
        <f t="shared" si="5"/>
        <v>Desaprobado</v>
      </c>
      <c r="M150" s="22" t="s">
        <v>423</v>
      </c>
    </row>
    <row r="151" spans="1:13" x14ac:dyDescent="0.2">
      <c r="A151" s="21" t="s">
        <v>271</v>
      </c>
      <c r="B151" s="26" t="str">
        <f>IFERROR(INDEX(Alumnos!$B$2:$B$31,MATCH($A151,Alumnos!$A$2:$A$31,0))&amp;", "&amp;INDEX(Alumnos!$C$2:$C$31,MATCH($A151,Alumnos!$A$2:$A$31,0)),"")</f>
        <v>Vega, Benjamín</v>
      </c>
      <c r="C151" s="21">
        <v>2</v>
      </c>
      <c r="D151" s="21" t="s">
        <v>88</v>
      </c>
      <c r="E151" s="21" t="s">
        <v>28</v>
      </c>
      <c r="F151" s="21" t="s">
        <v>387</v>
      </c>
      <c r="G151" s="26" t="str">
        <f>IFERROR(INDEX(Profesores!$B$2:$B$12,MATCH($F151,Profesores!$A$2:$A$12,0))&amp;" "&amp;INDEX(Profesores!$C$2:$C$12,MATCH($F151,Profesores!$A$2:$A$12,0)),"")</f>
        <v>Sánchez Pablo</v>
      </c>
      <c r="H151" s="21">
        <v>8</v>
      </c>
      <c r="I151" s="21">
        <v>6</v>
      </c>
      <c r="J151" s="21">
        <v>10</v>
      </c>
      <c r="K151" s="27">
        <f t="shared" si="4"/>
        <v>8</v>
      </c>
      <c r="L151" s="26" t="str">
        <f t="shared" si="5"/>
        <v>Aprobado</v>
      </c>
      <c r="M151" s="22"/>
    </row>
    <row r="152" spans="1:13" ht="25.5" x14ac:dyDescent="0.2">
      <c r="A152" s="21" t="s">
        <v>197</v>
      </c>
      <c r="B152" s="26" t="str">
        <f>IFERROR(INDEX(Alumnos!$B$2:$B$31,MATCH($A152,Alumnos!$A$2:$A$31,0))&amp;", "&amp;INDEX(Alumnos!$C$2:$C$31,MATCH($A152,Alumnos!$A$2:$A$31,0)),"")</f>
        <v>Pérez, Emilia</v>
      </c>
      <c r="C152" s="21">
        <v>2</v>
      </c>
      <c r="D152" s="21" t="s">
        <v>88</v>
      </c>
      <c r="E152" s="21" t="s">
        <v>29</v>
      </c>
      <c r="F152" s="21" t="s">
        <v>402</v>
      </c>
      <c r="G152" s="26" t="str">
        <f>IFERROR(INDEX(Profesores!$B$2:$B$12,MATCH($F152,Profesores!$A$2:$A$12,0))&amp;" "&amp;INDEX(Profesores!$C$2:$C$12,MATCH($F152,Profesores!$A$2:$A$12,0)),"")</f>
        <v>Flores Verónica</v>
      </c>
      <c r="H152" s="21">
        <v>10</v>
      </c>
      <c r="I152" s="21">
        <v>10</v>
      </c>
      <c r="J152" s="21">
        <v>7</v>
      </c>
      <c r="K152" s="27">
        <f t="shared" si="4"/>
        <v>9</v>
      </c>
      <c r="L152" s="26" t="str">
        <f t="shared" si="5"/>
        <v>Aprobado</v>
      </c>
      <c r="M152" s="22"/>
    </row>
    <row r="153" spans="1:13" ht="25.5" x14ac:dyDescent="0.2">
      <c r="A153" s="21" t="s">
        <v>204</v>
      </c>
      <c r="B153" s="26" t="str">
        <f>IFERROR(INDEX(Alumnos!$B$2:$B$31,MATCH($A153,Alumnos!$A$2:$A$31,0))&amp;", "&amp;INDEX(Alumnos!$C$2:$C$31,MATCH($A153,Alumnos!$A$2:$A$31,0)),"")</f>
        <v>Aguirre, Camila</v>
      </c>
      <c r="C153" s="21">
        <v>2</v>
      </c>
      <c r="D153" s="21" t="s">
        <v>88</v>
      </c>
      <c r="E153" s="21" t="s">
        <v>29</v>
      </c>
      <c r="F153" s="21" t="s">
        <v>402</v>
      </c>
      <c r="G153" s="26" t="str">
        <f>IFERROR(INDEX(Profesores!$B$2:$B$12,MATCH($F153,Profesores!$A$2:$A$12,0))&amp;" "&amp;INDEX(Profesores!$C$2:$C$12,MATCH($F153,Profesores!$A$2:$A$12,0)),"")</f>
        <v>Flores Verónica</v>
      </c>
      <c r="H153" s="21">
        <v>8</v>
      </c>
      <c r="I153" s="21">
        <v>7</v>
      </c>
      <c r="J153" s="21">
        <v>4</v>
      </c>
      <c r="K153" s="27">
        <f t="shared" si="4"/>
        <v>6.333333333333333</v>
      </c>
      <c r="L153" s="26" t="str">
        <f t="shared" si="5"/>
        <v>Aprobado</v>
      </c>
      <c r="M153" s="22"/>
    </row>
    <row r="154" spans="1:13" ht="25.5" x14ac:dyDescent="0.2">
      <c r="A154" s="21" t="s">
        <v>212</v>
      </c>
      <c r="B154" s="26" t="str">
        <f>IFERROR(INDEX(Alumnos!$B$2:$B$31,MATCH($A154,Alumnos!$A$2:$A$31,0))&amp;", "&amp;INDEX(Alumnos!$C$2:$C$31,MATCH($A154,Alumnos!$A$2:$A$31,0)),"")</f>
        <v>Aguirre, Guadalupe</v>
      </c>
      <c r="C154" s="21">
        <v>2</v>
      </c>
      <c r="D154" s="21" t="s">
        <v>88</v>
      </c>
      <c r="E154" s="21" t="s">
        <v>29</v>
      </c>
      <c r="F154" s="21" t="s">
        <v>402</v>
      </c>
      <c r="G154" s="26" t="str">
        <f>IFERROR(INDEX(Profesores!$B$2:$B$12,MATCH($F154,Profesores!$A$2:$A$12,0))&amp;" "&amp;INDEX(Profesores!$C$2:$C$12,MATCH($F154,Profesores!$A$2:$A$12,0)),"")</f>
        <v>Flores Verónica</v>
      </c>
      <c r="H154" s="21">
        <v>7</v>
      </c>
      <c r="I154" s="21">
        <v>10</v>
      </c>
      <c r="J154" s="21">
        <v>9</v>
      </c>
      <c r="K154" s="27">
        <f t="shared" si="4"/>
        <v>8.6666666666666661</v>
      </c>
      <c r="L154" s="26" t="str">
        <f t="shared" si="5"/>
        <v>Aprobado</v>
      </c>
      <c r="M154" s="22"/>
    </row>
    <row r="155" spans="1:13" ht="25.5" x14ac:dyDescent="0.2">
      <c r="A155" s="21" t="s">
        <v>223</v>
      </c>
      <c r="B155" s="26" t="str">
        <f>IFERROR(INDEX(Alumnos!$B$2:$B$31,MATCH($A155,Alumnos!$A$2:$A$31,0))&amp;", "&amp;INDEX(Alumnos!$C$2:$C$31,MATCH($A155,Alumnos!$A$2:$A$31,0)),"")</f>
        <v>Acosta, Bruno</v>
      </c>
      <c r="C155" s="21">
        <v>2</v>
      </c>
      <c r="D155" s="21" t="s">
        <v>88</v>
      </c>
      <c r="E155" s="21" t="s">
        <v>29</v>
      </c>
      <c r="F155" s="21" t="s">
        <v>402</v>
      </c>
      <c r="G155" s="26" t="str">
        <f>IFERROR(INDEX(Profesores!$B$2:$B$12,MATCH($F155,Profesores!$A$2:$A$12,0))&amp;" "&amp;INDEX(Profesores!$C$2:$C$12,MATCH($F155,Profesores!$A$2:$A$12,0)),"")</f>
        <v>Flores Verónica</v>
      </c>
      <c r="H155" s="21">
        <v>4</v>
      </c>
      <c r="I155" s="21">
        <v>7</v>
      </c>
      <c r="J155" s="21">
        <v>10</v>
      </c>
      <c r="K155" s="27">
        <f t="shared" si="4"/>
        <v>7</v>
      </c>
      <c r="L155" s="26" t="str">
        <f t="shared" si="5"/>
        <v>Aprobado</v>
      </c>
      <c r="M155" s="22" t="s">
        <v>422</v>
      </c>
    </row>
    <row r="156" spans="1:13" ht="25.5" x14ac:dyDescent="0.2">
      <c r="A156" s="21" t="s">
        <v>232</v>
      </c>
      <c r="B156" s="26" t="str">
        <f>IFERROR(INDEX(Alumnos!$B$2:$B$31,MATCH($A156,Alumnos!$A$2:$A$31,0))&amp;", "&amp;INDEX(Alumnos!$C$2:$C$31,MATCH($A156,Alumnos!$A$2:$A$31,0)),"")</f>
        <v>Flores, Valentina</v>
      </c>
      <c r="C156" s="21">
        <v>2</v>
      </c>
      <c r="D156" s="21" t="s">
        <v>88</v>
      </c>
      <c r="E156" s="21" t="s">
        <v>29</v>
      </c>
      <c r="F156" s="21" t="s">
        <v>402</v>
      </c>
      <c r="G156" s="26" t="str">
        <f>IFERROR(INDEX(Profesores!$B$2:$B$12,MATCH($F156,Profesores!$A$2:$A$12,0))&amp;" "&amp;INDEX(Profesores!$C$2:$C$12,MATCH($F156,Profesores!$A$2:$A$12,0)),"")</f>
        <v>Flores Verónica</v>
      </c>
      <c r="H156" s="21">
        <v>6</v>
      </c>
      <c r="I156" s="21">
        <v>8</v>
      </c>
      <c r="J156" s="21">
        <v>9</v>
      </c>
      <c r="K156" s="27">
        <f t="shared" si="4"/>
        <v>7.666666666666667</v>
      </c>
      <c r="L156" s="26" t="str">
        <f t="shared" si="5"/>
        <v>Aprobado</v>
      </c>
      <c r="M156" s="22" t="s">
        <v>421</v>
      </c>
    </row>
    <row r="157" spans="1:13" ht="25.5" x14ac:dyDescent="0.2">
      <c r="A157" s="21" t="s">
        <v>239</v>
      </c>
      <c r="B157" s="26" t="str">
        <f>IFERROR(INDEX(Alumnos!$B$2:$B$31,MATCH($A157,Alumnos!$A$2:$A$31,0))&amp;", "&amp;INDEX(Alumnos!$C$2:$C$31,MATCH($A157,Alumnos!$A$2:$A$31,0)),"")</f>
        <v>Aguirre, Juan</v>
      </c>
      <c r="C157" s="21">
        <v>2</v>
      </c>
      <c r="D157" s="21" t="s">
        <v>88</v>
      </c>
      <c r="E157" s="21" t="s">
        <v>29</v>
      </c>
      <c r="F157" s="21" t="s">
        <v>402</v>
      </c>
      <c r="G157" s="26" t="str">
        <f>IFERROR(INDEX(Profesores!$B$2:$B$12,MATCH($F157,Profesores!$A$2:$A$12,0))&amp;" "&amp;INDEX(Profesores!$C$2:$C$12,MATCH($F157,Profesores!$A$2:$A$12,0)),"")</f>
        <v>Flores Verónica</v>
      </c>
      <c r="H157" s="21">
        <v>9</v>
      </c>
      <c r="I157" s="21">
        <v>4</v>
      </c>
      <c r="J157" s="21">
        <v>10</v>
      </c>
      <c r="K157" s="27">
        <f t="shared" si="4"/>
        <v>7.666666666666667</v>
      </c>
      <c r="L157" s="26" t="str">
        <f t="shared" si="5"/>
        <v>Aprobado</v>
      </c>
      <c r="M157" s="22" t="s">
        <v>420</v>
      </c>
    </row>
    <row r="158" spans="1:13" ht="25.5" x14ac:dyDescent="0.2">
      <c r="A158" s="21" t="s">
        <v>247</v>
      </c>
      <c r="B158" s="26" t="str">
        <f>IFERROR(INDEX(Alumnos!$B$2:$B$31,MATCH($A158,Alumnos!$A$2:$A$31,0))&amp;", "&amp;INDEX(Alumnos!$C$2:$C$31,MATCH($A158,Alumnos!$A$2:$A$31,0)),"")</f>
        <v>Ruiz, Camila</v>
      </c>
      <c r="C158" s="21">
        <v>2</v>
      </c>
      <c r="D158" s="21" t="s">
        <v>88</v>
      </c>
      <c r="E158" s="21" t="s">
        <v>29</v>
      </c>
      <c r="F158" s="21" t="s">
        <v>402</v>
      </c>
      <c r="G158" s="26" t="str">
        <f>IFERROR(INDEX(Profesores!$B$2:$B$12,MATCH($F158,Profesores!$A$2:$A$12,0))&amp;" "&amp;INDEX(Profesores!$C$2:$C$12,MATCH($F158,Profesores!$A$2:$A$12,0)),"")</f>
        <v>Flores Verónica</v>
      </c>
      <c r="H158" s="21">
        <v>10</v>
      </c>
      <c r="I158" s="21">
        <v>9</v>
      </c>
      <c r="J158" s="21">
        <v>10</v>
      </c>
      <c r="K158" s="27">
        <f t="shared" si="4"/>
        <v>9.6666666666666661</v>
      </c>
      <c r="L158" s="26" t="str">
        <f t="shared" si="5"/>
        <v>Aprobado</v>
      </c>
      <c r="M158" s="22" t="s">
        <v>423</v>
      </c>
    </row>
    <row r="159" spans="1:13" ht="25.5" x14ac:dyDescent="0.2">
      <c r="A159" s="21" t="s">
        <v>255</v>
      </c>
      <c r="B159" s="26" t="str">
        <f>IFERROR(INDEX(Alumnos!$B$2:$B$31,MATCH($A159,Alumnos!$A$2:$A$31,0))&amp;", "&amp;INDEX(Alumnos!$C$2:$C$31,MATCH($A159,Alumnos!$A$2:$A$31,0)),"")</f>
        <v>Castro, Nicolás</v>
      </c>
      <c r="C159" s="21">
        <v>2</v>
      </c>
      <c r="D159" s="21" t="s">
        <v>88</v>
      </c>
      <c r="E159" s="21" t="s">
        <v>29</v>
      </c>
      <c r="F159" s="21" t="s">
        <v>402</v>
      </c>
      <c r="G159" s="26" t="str">
        <f>IFERROR(INDEX(Profesores!$B$2:$B$12,MATCH($F159,Profesores!$A$2:$A$12,0))&amp;" "&amp;INDEX(Profesores!$C$2:$C$12,MATCH($F159,Profesores!$A$2:$A$12,0)),"")</f>
        <v>Flores Verónica</v>
      </c>
      <c r="H159" s="21">
        <v>7</v>
      </c>
      <c r="I159" s="21">
        <v>6</v>
      </c>
      <c r="J159" s="21">
        <v>9</v>
      </c>
      <c r="K159" s="27">
        <f t="shared" si="4"/>
        <v>7.333333333333333</v>
      </c>
      <c r="L159" s="26" t="str">
        <f t="shared" si="5"/>
        <v>Aprobado</v>
      </c>
      <c r="M159" s="22" t="s">
        <v>424</v>
      </c>
    </row>
    <row r="160" spans="1:13" ht="25.5" x14ac:dyDescent="0.2">
      <c r="A160" s="21" t="s">
        <v>263</v>
      </c>
      <c r="B160" s="26" t="str">
        <f>IFERROR(INDEX(Alumnos!$B$2:$B$31,MATCH($A160,Alumnos!$A$2:$A$31,0))&amp;", "&amp;INDEX(Alumnos!$C$2:$C$31,MATCH($A160,Alumnos!$A$2:$A$31,0)),"")</f>
        <v>Suárez, Julieta</v>
      </c>
      <c r="C160" s="21">
        <v>2</v>
      </c>
      <c r="D160" s="21" t="s">
        <v>88</v>
      </c>
      <c r="E160" s="21" t="s">
        <v>29</v>
      </c>
      <c r="F160" s="21" t="s">
        <v>402</v>
      </c>
      <c r="G160" s="26" t="str">
        <f>IFERROR(INDEX(Profesores!$B$2:$B$12,MATCH($F160,Profesores!$A$2:$A$12,0))&amp;" "&amp;INDEX(Profesores!$C$2:$C$12,MATCH($F160,Profesores!$A$2:$A$12,0)),"")</f>
        <v>Flores Verónica</v>
      </c>
      <c r="H160" s="21">
        <v>10</v>
      </c>
      <c r="I160" s="21">
        <v>8</v>
      </c>
      <c r="J160" s="21">
        <v>4</v>
      </c>
      <c r="K160" s="27">
        <f t="shared" si="4"/>
        <v>7.333333333333333</v>
      </c>
      <c r="L160" s="26" t="str">
        <f t="shared" si="5"/>
        <v>Aprobado</v>
      </c>
      <c r="M160" s="22" t="s">
        <v>426</v>
      </c>
    </row>
    <row r="161" spans="1:13" ht="25.5" x14ac:dyDescent="0.2">
      <c r="A161" s="21" t="s">
        <v>271</v>
      </c>
      <c r="B161" s="26" t="str">
        <f>IFERROR(INDEX(Alumnos!$B$2:$B$31,MATCH($A161,Alumnos!$A$2:$A$31,0))&amp;", "&amp;INDEX(Alumnos!$C$2:$C$31,MATCH($A161,Alumnos!$A$2:$A$31,0)),"")</f>
        <v>Vega, Benjamín</v>
      </c>
      <c r="C161" s="21">
        <v>2</v>
      </c>
      <c r="D161" s="21" t="s">
        <v>88</v>
      </c>
      <c r="E161" s="21" t="s">
        <v>29</v>
      </c>
      <c r="F161" s="21" t="s">
        <v>402</v>
      </c>
      <c r="G161" s="26" t="str">
        <f>IFERROR(INDEX(Profesores!$B$2:$B$12,MATCH($F161,Profesores!$A$2:$A$12,0))&amp;" "&amp;INDEX(Profesores!$C$2:$C$12,MATCH($F161,Profesores!$A$2:$A$12,0)),"")</f>
        <v>Flores Verónica</v>
      </c>
      <c r="H161" s="21">
        <v>4</v>
      </c>
      <c r="I161" s="21">
        <v>5</v>
      </c>
      <c r="J161" s="21">
        <v>9</v>
      </c>
      <c r="K161" s="27">
        <f t="shared" si="4"/>
        <v>6</v>
      </c>
      <c r="L161" s="26" t="str">
        <f t="shared" si="5"/>
        <v>Aprobado</v>
      </c>
      <c r="M161" s="22" t="s">
        <v>422</v>
      </c>
    </row>
    <row r="162" spans="1:13" x14ac:dyDescent="0.2">
      <c r="A162" s="21" t="s">
        <v>280</v>
      </c>
      <c r="B162" s="26" t="str">
        <f>IFERROR(INDEX(Alumnos!$B$2:$B$31,MATCH($A162,Alumnos!$A$2:$A$31,0))&amp;", "&amp;INDEX(Alumnos!$C$2:$C$31,MATCH($A162,Alumnos!$A$2:$A$31,0)),"")</f>
        <v>Molina, Milagros</v>
      </c>
      <c r="C162" s="21">
        <v>3</v>
      </c>
      <c r="D162" s="21" t="s">
        <v>88</v>
      </c>
      <c r="E162" s="21" t="s">
        <v>35</v>
      </c>
      <c r="F162" s="21" t="s">
        <v>360</v>
      </c>
      <c r="G162" s="26" t="str">
        <f>IFERROR(INDEX(Profesores!$B$2:$B$12,MATCH($F162,Profesores!$A$2:$A$12,0))&amp;" "&amp;INDEX(Profesores!$C$2:$C$12,MATCH($F162,Profesores!$A$2:$A$12,0)),"")</f>
        <v>Gómez Laura</v>
      </c>
      <c r="H162" s="21">
        <v>5</v>
      </c>
      <c r="I162" s="21">
        <v>9</v>
      </c>
      <c r="J162" s="21">
        <v>4</v>
      </c>
      <c r="K162" s="27">
        <f t="shared" si="4"/>
        <v>6</v>
      </c>
      <c r="L162" s="26" t="str">
        <f t="shared" si="5"/>
        <v>Aprobado</v>
      </c>
      <c r="M162" s="22" t="s">
        <v>421</v>
      </c>
    </row>
    <row r="163" spans="1:13" x14ac:dyDescent="0.2">
      <c r="A163" s="21" t="s">
        <v>287</v>
      </c>
      <c r="B163" s="26" t="str">
        <f>IFERROR(INDEX(Alumnos!$B$2:$B$31,MATCH($A163,Alumnos!$A$2:$A$31,0))&amp;", "&amp;INDEX(Alumnos!$C$2:$C$31,MATCH($A163,Alumnos!$A$2:$A$31,0)),"")</f>
        <v>Rodríguez, Renata</v>
      </c>
      <c r="C163" s="21">
        <v>3</v>
      </c>
      <c r="D163" s="21" t="s">
        <v>88</v>
      </c>
      <c r="E163" s="21" t="s">
        <v>35</v>
      </c>
      <c r="F163" s="21" t="s">
        <v>360</v>
      </c>
      <c r="G163" s="26" t="str">
        <f>IFERROR(INDEX(Profesores!$B$2:$B$12,MATCH($F163,Profesores!$A$2:$A$12,0))&amp;" "&amp;INDEX(Profesores!$C$2:$C$12,MATCH($F163,Profesores!$A$2:$A$12,0)),"")</f>
        <v>Gómez Laura</v>
      </c>
      <c r="H163" s="21">
        <v>4</v>
      </c>
      <c r="I163" s="21">
        <v>10</v>
      </c>
      <c r="J163" s="21">
        <v>9</v>
      </c>
      <c r="K163" s="27">
        <f t="shared" si="4"/>
        <v>7.666666666666667</v>
      </c>
      <c r="L163" s="26" t="str">
        <f t="shared" si="5"/>
        <v>Aprobado</v>
      </c>
      <c r="M163" s="22"/>
    </row>
    <row r="164" spans="1:13" ht="25.5" x14ac:dyDescent="0.2">
      <c r="A164" s="21" t="s">
        <v>294</v>
      </c>
      <c r="B164" s="26" t="str">
        <f>IFERROR(INDEX(Alumnos!$B$2:$B$31,MATCH($A164,Alumnos!$A$2:$A$31,0))&amp;", "&amp;INDEX(Alumnos!$C$2:$C$31,MATCH($A164,Alumnos!$A$2:$A$31,0)),"")</f>
        <v>Peralta, Franco</v>
      </c>
      <c r="C164" s="21">
        <v>3</v>
      </c>
      <c r="D164" s="21" t="s">
        <v>88</v>
      </c>
      <c r="E164" s="21" t="s">
        <v>35</v>
      </c>
      <c r="F164" s="21" t="s">
        <v>360</v>
      </c>
      <c r="G164" s="26" t="str">
        <f>IFERROR(INDEX(Profesores!$B$2:$B$12,MATCH($F164,Profesores!$A$2:$A$12,0))&amp;" "&amp;INDEX(Profesores!$C$2:$C$12,MATCH($F164,Profesores!$A$2:$A$12,0)),"")</f>
        <v>Gómez Laura</v>
      </c>
      <c r="H164" s="21">
        <v>7</v>
      </c>
      <c r="I164" s="21">
        <v>5</v>
      </c>
      <c r="J164" s="21">
        <v>9</v>
      </c>
      <c r="K164" s="27">
        <f t="shared" si="4"/>
        <v>7</v>
      </c>
      <c r="L164" s="26" t="str">
        <f t="shared" si="5"/>
        <v>Aprobado</v>
      </c>
      <c r="M164" s="22" t="s">
        <v>422</v>
      </c>
    </row>
    <row r="165" spans="1:13" x14ac:dyDescent="0.2">
      <c r="A165" s="21" t="s">
        <v>302</v>
      </c>
      <c r="B165" s="26" t="str">
        <f>IFERROR(INDEX(Alumnos!$B$2:$B$31,MATCH($A165,Alumnos!$A$2:$A$31,0))&amp;", "&amp;INDEX(Alumnos!$C$2:$C$31,MATCH($A165,Alumnos!$A$2:$A$31,0)),"")</f>
        <v>Sánchez, Renata</v>
      </c>
      <c r="C165" s="21">
        <v>3</v>
      </c>
      <c r="D165" s="21" t="s">
        <v>88</v>
      </c>
      <c r="E165" s="21" t="s">
        <v>35</v>
      </c>
      <c r="F165" s="21" t="s">
        <v>360</v>
      </c>
      <c r="G165" s="26" t="str">
        <f>IFERROR(INDEX(Profesores!$B$2:$B$12,MATCH($F165,Profesores!$A$2:$A$12,0))&amp;" "&amp;INDEX(Profesores!$C$2:$C$12,MATCH($F165,Profesores!$A$2:$A$12,0)),"")</f>
        <v>Gómez Laura</v>
      </c>
      <c r="H165" s="21">
        <v>4</v>
      </c>
      <c r="I165" s="21">
        <v>4</v>
      </c>
      <c r="J165" s="21">
        <v>6</v>
      </c>
      <c r="K165" s="27">
        <f t="shared" si="4"/>
        <v>4.666666666666667</v>
      </c>
      <c r="L165" s="26" t="str">
        <f t="shared" si="5"/>
        <v>Desaprobado</v>
      </c>
      <c r="M165" s="22"/>
    </row>
    <row r="166" spans="1:13" x14ac:dyDescent="0.2">
      <c r="A166" s="21" t="s">
        <v>309</v>
      </c>
      <c r="B166" s="26" t="str">
        <f>IFERROR(INDEX(Alumnos!$B$2:$B$31,MATCH($A166,Alumnos!$A$2:$A$31,0))&amp;", "&amp;INDEX(Alumnos!$C$2:$C$31,MATCH($A166,Alumnos!$A$2:$A$31,0)),"")</f>
        <v>Martínez, Benjamín</v>
      </c>
      <c r="C166" s="21">
        <v>3</v>
      </c>
      <c r="D166" s="21" t="s">
        <v>88</v>
      </c>
      <c r="E166" s="21" t="s">
        <v>35</v>
      </c>
      <c r="F166" s="21" t="s">
        <v>360</v>
      </c>
      <c r="G166" s="26" t="str">
        <f>IFERROR(INDEX(Profesores!$B$2:$B$12,MATCH($F166,Profesores!$A$2:$A$12,0))&amp;" "&amp;INDEX(Profesores!$C$2:$C$12,MATCH($F166,Profesores!$A$2:$A$12,0)),"")</f>
        <v>Gómez Laura</v>
      </c>
      <c r="H166" s="21">
        <v>6</v>
      </c>
      <c r="I166" s="21">
        <v>6</v>
      </c>
      <c r="J166" s="21">
        <v>6</v>
      </c>
      <c r="K166" s="27">
        <f t="shared" si="4"/>
        <v>6</v>
      </c>
      <c r="L166" s="26" t="str">
        <f t="shared" si="5"/>
        <v>Aprobado</v>
      </c>
      <c r="M166" s="22" t="s">
        <v>421</v>
      </c>
    </row>
    <row r="167" spans="1:13" x14ac:dyDescent="0.2">
      <c r="A167" s="21" t="s">
        <v>317</v>
      </c>
      <c r="B167" s="26" t="str">
        <f>IFERROR(INDEX(Alumnos!$B$2:$B$31,MATCH($A167,Alumnos!$A$2:$A$31,0))&amp;", "&amp;INDEX(Alumnos!$C$2:$C$31,MATCH($A167,Alumnos!$A$2:$A$31,0)),"")</f>
        <v>Medina, María</v>
      </c>
      <c r="C167" s="21">
        <v>3</v>
      </c>
      <c r="D167" s="21" t="s">
        <v>88</v>
      </c>
      <c r="E167" s="21" t="s">
        <v>35</v>
      </c>
      <c r="F167" s="21" t="s">
        <v>360</v>
      </c>
      <c r="G167" s="26" t="str">
        <f>IFERROR(INDEX(Profesores!$B$2:$B$12,MATCH($F167,Profesores!$A$2:$A$12,0))&amp;" "&amp;INDEX(Profesores!$C$2:$C$12,MATCH($F167,Profesores!$A$2:$A$12,0)),"")</f>
        <v>Gómez Laura</v>
      </c>
      <c r="H167" s="21">
        <v>5</v>
      </c>
      <c r="I167" s="21">
        <v>5</v>
      </c>
      <c r="J167" s="21">
        <v>8</v>
      </c>
      <c r="K167" s="27">
        <f t="shared" si="4"/>
        <v>6</v>
      </c>
      <c r="L167" s="26" t="str">
        <f t="shared" si="5"/>
        <v>Aprobado</v>
      </c>
      <c r="M167" s="22" t="s">
        <v>421</v>
      </c>
    </row>
    <row r="168" spans="1:13" x14ac:dyDescent="0.2">
      <c r="A168" s="21" t="s">
        <v>325</v>
      </c>
      <c r="B168" s="26" t="str">
        <f>IFERROR(INDEX(Alumnos!$B$2:$B$31,MATCH($A168,Alumnos!$A$2:$A$31,0))&amp;", "&amp;INDEX(Alumnos!$C$2:$C$31,MATCH($A168,Alumnos!$A$2:$A$31,0)),"")</f>
        <v>Molina, Facundo</v>
      </c>
      <c r="C168" s="21">
        <v>3</v>
      </c>
      <c r="D168" s="21" t="s">
        <v>88</v>
      </c>
      <c r="E168" s="21" t="s">
        <v>35</v>
      </c>
      <c r="F168" s="21" t="s">
        <v>360</v>
      </c>
      <c r="G168" s="26" t="str">
        <f>IFERROR(INDEX(Profesores!$B$2:$B$12,MATCH($F168,Profesores!$A$2:$A$12,0))&amp;" "&amp;INDEX(Profesores!$C$2:$C$12,MATCH($F168,Profesores!$A$2:$A$12,0)),"")</f>
        <v>Gómez Laura</v>
      </c>
      <c r="H168" s="21">
        <v>8</v>
      </c>
      <c r="I168" s="21">
        <v>9</v>
      </c>
      <c r="J168" s="21">
        <v>10</v>
      </c>
      <c r="K168" s="27">
        <f t="shared" si="4"/>
        <v>9</v>
      </c>
      <c r="L168" s="26" t="str">
        <f t="shared" si="5"/>
        <v>Aprobado</v>
      </c>
      <c r="M168" s="22"/>
    </row>
    <row r="169" spans="1:13" x14ac:dyDescent="0.2">
      <c r="A169" s="21" t="s">
        <v>332</v>
      </c>
      <c r="B169" s="26" t="str">
        <f>IFERROR(INDEX(Alumnos!$B$2:$B$31,MATCH($A169,Alumnos!$A$2:$A$31,0))&amp;", "&amp;INDEX(Alumnos!$C$2:$C$31,MATCH($A169,Alumnos!$A$2:$A$31,0)),"")</f>
        <v>Álvarez, Pilar</v>
      </c>
      <c r="C169" s="21">
        <v>3</v>
      </c>
      <c r="D169" s="21" t="s">
        <v>88</v>
      </c>
      <c r="E169" s="21" t="s">
        <v>35</v>
      </c>
      <c r="F169" s="21" t="s">
        <v>360</v>
      </c>
      <c r="G169" s="26" t="str">
        <f>IFERROR(INDEX(Profesores!$B$2:$B$12,MATCH($F169,Profesores!$A$2:$A$12,0))&amp;" "&amp;INDEX(Profesores!$C$2:$C$12,MATCH($F169,Profesores!$A$2:$A$12,0)),"")</f>
        <v>Gómez Laura</v>
      </c>
      <c r="H169" s="21">
        <v>5</v>
      </c>
      <c r="I169" s="21">
        <v>5</v>
      </c>
      <c r="J169" s="21">
        <v>4</v>
      </c>
      <c r="K169" s="27">
        <f t="shared" si="4"/>
        <v>4.666666666666667</v>
      </c>
      <c r="L169" s="26" t="str">
        <f t="shared" si="5"/>
        <v>Desaprobado</v>
      </c>
      <c r="M169" s="22" t="s">
        <v>426</v>
      </c>
    </row>
    <row r="170" spans="1:13" x14ac:dyDescent="0.2">
      <c r="A170" s="21" t="s">
        <v>339</v>
      </c>
      <c r="B170" s="26" t="str">
        <f>IFERROR(INDEX(Alumnos!$B$2:$B$31,MATCH($A170,Alumnos!$A$2:$A$31,0))&amp;", "&amp;INDEX(Alumnos!$C$2:$C$31,MATCH($A170,Alumnos!$A$2:$A$31,0)),"")</f>
        <v>Suárez, Pilar</v>
      </c>
      <c r="C170" s="21">
        <v>3</v>
      </c>
      <c r="D170" s="21" t="s">
        <v>88</v>
      </c>
      <c r="E170" s="21" t="s">
        <v>35</v>
      </c>
      <c r="F170" s="21" t="s">
        <v>360</v>
      </c>
      <c r="G170" s="26" t="str">
        <f>IFERROR(INDEX(Profesores!$B$2:$B$12,MATCH($F170,Profesores!$A$2:$A$12,0))&amp;" "&amp;INDEX(Profesores!$C$2:$C$12,MATCH($F170,Profesores!$A$2:$A$12,0)),"")</f>
        <v>Gómez Laura</v>
      </c>
      <c r="H170" s="21">
        <v>10</v>
      </c>
      <c r="I170" s="21">
        <v>7</v>
      </c>
      <c r="J170" s="21">
        <v>8</v>
      </c>
      <c r="K170" s="27">
        <f t="shared" si="4"/>
        <v>8.3333333333333339</v>
      </c>
      <c r="L170" s="26" t="str">
        <f t="shared" si="5"/>
        <v>Aprobado</v>
      </c>
      <c r="M170" s="22" t="s">
        <v>425</v>
      </c>
    </row>
    <row r="171" spans="1:13" x14ac:dyDescent="0.2">
      <c r="A171" s="21" t="s">
        <v>347</v>
      </c>
      <c r="B171" s="26" t="str">
        <f>IFERROR(INDEX(Alumnos!$B$2:$B$31,MATCH($A171,Alumnos!$A$2:$A$31,0))&amp;", "&amp;INDEX(Alumnos!$C$2:$C$31,MATCH($A171,Alumnos!$A$2:$A$31,0)),"")</f>
        <v>Sánchez, Facundo</v>
      </c>
      <c r="C171" s="21">
        <v>3</v>
      </c>
      <c r="D171" s="21" t="s">
        <v>88</v>
      </c>
      <c r="E171" s="21" t="s">
        <v>35</v>
      </c>
      <c r="F171" s="21" t="s">
        <v>360</v>
      </c>
      <c r="G171" s="26" t="str">
        <f>IFERROR(INDEX(Profesores!$B$2:$B$12,MATCH($F171,Profesores!$A$2:$A$12,0))&amp;" "&amp;INDEX(Profesores!$C$2:$C$12,MATCH($F171,Profesores!$A$2:$A$12,0)),"")</f>
        <v>Gómez Laura</v>
      </c>
      <c r="H171" s="21">
        <v>7</v>
      </c>
      <c r="I171" s="21">
        <v>8</v>
      </c>
      <c r="J171" s="21">
        <v>5</v>
      </c>
      <c r="K171" s="27">
        <f t="shared" si="4"/>
        <v>6.666666666666667</v>
      </c>
      <c r="L171" s="26" t="str">
        <f t="shared" si="5"/>
        <v>Aprobado</v>
      </c>
      <c r="M171" s="22" t="s">
        <v>425</v>
      </c>
    </row>
    <row r="172" spans="1:13" x14ac:dyDescent="0.2">
      <c r="A172" s="21" t="s">
        <v>280</v>
      </c>
      <c r="B172" s="26" t="str">
        <f>IFERROR(INDEX(Alumnos!$B$2:$B$31,MATCH($A172,Alumnos!$A$2:$A$31,0))&amp;", "&amp;INDEX(Alumnos!$C$2:$C$31,MATCH($A172,Alumnos!$A$2:$A$31,0)),"")</f>
        <v>Molina, Milagros</v>
      </c>
      <c r="C172" s="21">
        <v>3</v>
      </c>
      <c r="D172" s="21" t="s">
        <v>88</v>
      </c>
      <c r="E172" s="21" t="s">
        <v>36</v>
      </c>
      <c r="F172" s="21" t="s">
        <v>366</v>
      </c>
      <c r="G172" s="26" t="str">
        <f>IFERROR(INDEX(Profesores!$B$2:$B$12,MATCH($F172,Profesores!$A$2:$A$12,0))&amp;" "&amp;INDEX(Profesores!$C$2:$C$12,MATCH($F172,Profesores!$A$2:$A$12,0)),"")</f>
        <v>Fernández Marcelo</v>
      </c>
      <c r="H172" s="21">
        <v>7</v>
      </c>
      <c r="I172" s="21">
        <v>9</v>
      </c>
      <c r="J172" s="21">
        <v>6</v>
      </c>
      <c r="K172" s="27">
        <f t="shared" si="4"/>
        <v>7.333333333333333</v>
      </c>
      <c r="L172" s="26" t="str">
        <f t="shared" si="5"/>
        <v>Aprobado</v>
      </c>
      <c r="M172" s="22" t="s">
        <v>424</v>
      </c>
    </row>
    <row r="173" spans="1:13" x14ac:dyDescent="0.2">
      <c r="A173" s="21" t="s">
        <v>287</v>
      </c>
      <c r="B173" s="26" t="str">
        <f>IFERROR(INDEX(Alumnos!$B$2:$B$31,MATCH($A173,Alumnos!$A$2:$A$31,0))&amp;", "&amp;INDEX(Alumnos!$C$2:$C$31,MATCH($A173,Alumnos!$A$2:$A$31,0)),"")</f>
        <v>Rodríguez, Renata</v>
      </c>
      <c r="C173" s="21">
        <v>3</v>
      </c>
      <c r="D173" s="21" t="s">
        <v>88</v>
      </c>
      <c r="E173" s="21" t="s">
        <v>36</v>
      </c>
      <c r="F173" s="21" t="s">
        <v>366</v>
      </c>
      <c r="G173" s="26" t="str">
        <f>IFERROR(INDEX(Profesores!$B$2:$B$12,MATCH($F173,Profesores!$A$2:$A$12,0))&amp;" "&amp;INDEX(Profesores!$C$2:$C$12,MATCH($F173,Profesores!$A$2:$A$12,0)),"")</f>
        <v>Fernández Marcelo</v>
      </c>
      <c r="H173" s="21">
        <v>6</v>
      </c>
      <c r="I173" s="21">
        <v>9</v>
      </c>
      <c r="J173" s="21">
        <v>4</v>
      </c>
      <c r="K173" s="27">
        <f t="shared" si="4"/>
        <v>6.333333333333333</v>
      </c>
      <c r="L173" s="26" t="str">
        <f t="shared" si="5"/>
        <v>Aprobado</v>
      </c>
      <c r="M173" s="22" t="s">
        <v>424</v>
      </c>
    </row>
    <row r="174" spans="1:13" x14ac:dyDescent="0.2">
      <c r="A174" s="21" t="s">
        <v>294</v>
      </c>
      <c r="B174" s="26" t="str">
        <f>IFERROR(INDEX(Alumnos!$B$2:$B$31,MATCH($A174,Alumnos!$A$2:$A$31,0))&amp;", "&amp;INDEX(Alumnos!$C$2:$C$31,MATCH($A174,Alumnos!$A$2:$A$31,0)),"")</f>
        <v>Peralta, Franco</v>
      </c>
      <c r="C174" s="21">
        <v>3</v>
      </c>
      <c r="D174" s="21" t="s">
        <v>88</v>
      </c>
      <c r="E174" s="21" t="s">
        <v>36</v>
      </c>
      <c r="F174" s="21" t="s">
        <v>366</v>
      </c>
      <c r="G174" s="26" t="str">
        <f>IFERROR(INDEX(Profesores!$B$2:$B$12,MATCH($F174,Profesores!$A$2:$A$12,0))&amp;" "&amp;INDEX(Profesores!$C$2:$C$12,MATCH($F174,Profesores!$A$2:$A$12,0)),"")</f>
        <v>Fernández Marcelo</v>
      </c>
      <c r="H174" s="21">
        <v>6</v>
      </c>
      <c r="I174" s="21">
        <v>9</v>
      </c>
      <c r="J174" s="21">
        <v>8</v>
      </c>
      <c r="K174" s="27">
        <f t="shared" si="4"/>
        <v>7.666666666666667</v>
      </c>
      <c r="L174" s="26" t="str">
        <f t="shared" si="5"/>
        <v>Aprobado</v>
      </c>
      <c r="M174" s="22"/>
    </row>
    <row r="175" spans="1:13" x14ac:dyDescent="0.2">
      <c r="A175" s="21" t="s">
        <v>302</v>
      </c>
      <c r="B175" s="26" t="str">
        <f>IFERROR(INDEX(Alumnos!$B$2:$B$31,MATCH($A175,Alumnos!$A$2:$A$31,0))&amp;", "&amp;INDEX(Alumnos!$C$2:$C$31,MATCH($A175,Alumnos!$A$2:$A$31,0)),"")</f>
        <v>Sánchez, Renata</v>
      </c>
      <c r="C175" s="21">
        <v>3</v>
      </c>
      <c r="D175" s="21" t="s">
        <v>88</v>
      </c>
      <c r="E175" s="21" t="s">
        <v>36</v>
      </c>
      <c r="F175" s="21" t="s">
        <v>366</v>
      </c>
      <c r="G175" s="26" t="str">
        <f>IFERROR(INDEX(Profesores!$B$2:$B$12,MATCH($F175,Profesores!$A$2:$A$12,0))&amp;" "&amp;INDEX(Profesores!$C$2:$C$12,MATCH($F175,Profesores!$A$2:$A$12,0)),"")</f>
        <v>Fernández Marcelo</v>
      </c>
      <c r="H175" s="21">
        <v>4</v>
      </c>
      <c r="I175" s="21">
        <v>7</v>
      </c>
      <c r="J175" s="21">
        <v>6</v>
      </c>
      <c r="K175" s="27">
        <f t="shared" si="4"/>
        <v>5.666666666666667</v>
      </c>
      <c r="L175" s="26" t="str">
        <f t="shared" si="5"/>
        <v>Desaprobado</v>
      </c>
      <c r="M175" s="22" t="s">
        <v>426</v>
      </c>
    </row>
    <row r="176" spans="1:13" ht="25.5" x14ac:dyDescent="0.2">
      <c r="A176" s="21" t="s">
        <v>309</v>
      </c>
      <c r="B176" s="26" t="str">
        <f>IFERROR(INDEX(Alumnos!$B$2:$B$31,MATCH($A176,Alumnos!$A$2:$A$31,0))&amp;", "&amp;INDEX(Alumnos!$C$2:$C$31,MATCH($A176,Alumnos!$A$2:$A$31,0)),"")</f>
        <v>Martínez, Benjamín</v>
      </c>
      <c r="C176" s="21">
        <v>3</v>
      </c>
      <c r="D176" s="21" t="s">
        <v>88</v>
      </c>
      <c r="E176" s="21" t="s">
        <v>36</v>
      </c>
      <c r="F176" s="21" t="s">
        <v>366</v>
      </c>
      <c r="G176" s="26" t="str">
        <f>IFERROR(INDEX(Profesores!$B$2:$B$12,MATCH($F176,Profesores!$A$2:$A$12,0))&amp;" "&amp;INDEX(Profesores!$C$2:$C$12,MATCH($F176,Profesores!$A$2:$A$12,0)),"")</f>
        <v>Fernández Marcelo</v>
      </c>
      <c r="H176" s="21">
        <v>6</v>
      </c>
      <c r="I176" s="21">
        <v>9</v>
      </c>
      <c r="J176" s="21">
        <v>7</v>
      </c>
      <c r="K176" s="27">
        <f t="shared" si="4"/>
        <v>7.333333333333333</v>
      </c>
      <c r="L176" s="26" t="str">
        <f t="shared" si="5"/>
        <v>Aprobado</v>
      </c>
      <c r="M176" s="22" t="s">
        <v>422</v>
      </c>
    </row>
    <row r="177" spans="1:13" x14ac:dyDescent="0.2">
      <c r="A177" s="21" t="s">
        <v>317</v>
      </c>
      <c r="B177" s="26" t="str">
        <f>IFERROR(INDEX(Alumnos!$B$2:$B$31,MATCH($A177,Alumnos!$A$2:$A$31,0))&amp;", "&amp;INDEX(Alumnos!$C$2:$C$31,MATCH($A177,Alumnos!$A$2:$A$31,0)),"")</f>
        <v>Medina, María</v>
      </c>
      <c r="C177" s="21">
        <v>3</v>
      </c>
      <c r="D177" s="21" t="s">
        <v>88</v>
      </c>
      <c r="E177" s="21" t="s">
        <v>36</v>
      </c>
      <c r="F177" s="21" t="s">
        <v>366</v>
      </c>
      <c r="G177" s="26" t="str">
        <f>IFERROR(INDEX(Profesores!$B$2:$B$12,MATCH($F177,Profesores!$A$2:$A$12,0))&amp;" "&amp;INDEX(Profesores!$C$2:$C$12,MATCH($F177,Profesores!$A$2:$A$12,0)),"")</f>
        <v>Fernández Marcelo</v>
      </c>
      <c r="H177" s="21">
        <v>7</v>
      </c>
      <c r="I177" s="21">
        <v>10</v>
      </c>
      <c r="J177" s="21">
        <v>6</v>
      </c>
      <c r="K177" s="27">
        <f t="shared" si="4"/>
        <v>7.666666666666667</v>
      </c>
      <c r="L177" s="26" t="str">
        <f t="shared" si="5"/>
        <v>Aprobado</v>
      </c>
      <c r="M177" s="22" t="s">
        <v>425</v>
      </c>
    </row>
    <row r="178" spans="1:13" x14ac:dyDescent="0.2">
      <c r="A178" s="21" t="s">
        <v>325</v>
      </c>
      <c r="B178" s="26" t="str">
        <f>IFERROR(INDEX(Alumnos!$B$2:$B$31,MATCH($A178,Alumnos!$A$2:$A$31,0))&amp;", "&amp;INDEX(Alumnos!$C$2:$C$31,MATCH($A178,Alumnos!$A$2:$A$31,0)),"")</f>
        <v>Molina, Facundo</v>
      </c>
      <c r="C178" s="21">
        <v>3</v>
      </c>
      <c r="D178" s="21" t="s">
        <v>88</v>
      </c>
      <c r="E178" s="21" t="s">
        <v>36</v>
      </c>
      <c r="F178" s="21" t="s">
        <v>366</v>
      </c>
      <c r="G178" s="26" t="str">
        <f>IFERROR(INDEX(Profesores!$B$2:$B$12,MATCH($F178,Profesores!$A$2:$A$12,0))&amp;" "&amp;INDEX(Profesores!$C$2:$C$12,MATCH($F178,Profesores!$A$2:$A$12,0)),"")</f>
        <v>Fernández Marcelo</v>
      </c>
      <c r="H178" s="21">
        <v>7</v>
      </c>
      <c r="I178" s="21">
        <v>10</v>
      </c>
      <c r="J178" s="21">
        <v>7</v>
      </c>
      <c r="K178" s="27">
        <f t="shared" si="4"/>
        <v>8</v>
      </c>
      <c r="L178" s="26" t="str">
        <f t="shared" si="5"/>
        <v>Aprobado</v>
      </c>
      <c r="M178" s="22"/>
    </row>
    <row r="179" spans="1:13" x14ac:dyDescent="0.2">
      <c r="A179" s="21" t="s">
        <v>332</v>
      </c>
      <c r="B179" s="26" t="str">
        <f>IFERROR(INDEX(Alumnos!$B$2:$B$31,MATCH($A179,Alumnos!$A$2:$A$31,0))&amp;", "&amp;INDEX(Alumnos!$C$2:$C$31,MATCH($A179,Alumnos!$A$2:$A$31,0)),"")</f>
        <v>Álvarez, Pilar</v>
      </c>
      <c r="C179" s="21">
        <v>3</v>
      </c>
      <c r="D179" s="21" t="s">
        <v>88</v>
      </c>
      <c r="E179" s="21" t="s">
        <v>36</v>
      </c>
      <c r="F179" s="21" t="s">
        <v>366</v>
      </c>
      <c r="G179" s="26" t="str">
        <f>IFERROR(INDEX(Profesores!$B$2:$B$12,MATCH($F179,Profesores!$A$2:$A$12,0))&amp;" "&amp;INDEX(Profesores!$C$2:$C$12,MATCH($F179,Profesores!$A$2:$A$12,0)),"")</f>
        <v>Fernández Marcelo</v>
      </c>
      <c r="H179" s="21">
        <v>5</v>
      </c>
      <c r="I179" s="21">
        <v>7</v>
      </c>
      <c r="J179" s="21">
        <v>8</v>
      </c>
      <c r="K179" s="27">
        <f t="shared" si="4"/>
        <v>6.666666666666667</v>
      </c>
      <c r="L179" s="26" t="str">
        <f t="shared" si="5"/>
        <v>Aprobado</v>
      </c>
      <c r="M179" s="22" t="s">
        <v>420</v>
      </c>
    </row>
    <row r="180" spans="1:13" ht="25.5" x14ac:dyDescent="0.2">
      <c r="A180" s="21" t="s">
        <v>339</v>
      </c>
      <c r="B180" s="26" t="str">
        <f>IFERROR(INDEX(Alumnos!$B$2:$B$31,MATCH($A180,Alumnos!$A$2:$A$31,0))&amp;", "&amp;INDEX(Alumnos!$C$2:$C$31,MATCH($A180,Alumnos!$A$2:$A$31,0)),"")</f>
        <v>Suárez, Pilar</v>
      </c>
      <c r="C180" s="21">
        <v>3</v>
      </c>
      <c r="D180" s="21" t="s">
        <v>88</v>
      </c>
      <c r="E180" s="21" t="s">
        <v>36</v>
      </c>
      <c r="F180" s="21" t="s">
        <v>366</v>
      </c>
      <c r="G180" s="26" t="str">
        <f>IFERROR(INDEX(Profesores!$B$2:$B$12,MATCH($F180,Profesores!$A$2:$A$12,0))&amp;" "&amp;INDEX(Profesores!$C$2:$C$12,MATCH($F180,Profesores!$A$2:$A$12,0)),"")</f>
        <v>Fernández Marcelo</v>
      </c>
      <c r="H180" s="21">
        <v>8</v>
      </c>
      <c r="I180" s="21">
        <v>6</v>
      </c>
      <c r="J180" s="21">
        <v>9</v>
      </c>
      <c r="K180" s="27">
        <f t="shared" si="4"/>
        <v>7.666666666666667</v>
      </c>
      <c r="L180" s="26" t="str">
        <f t="shared" si="5"/>
        <v>Aprobado</v>
      </c>
      <c r="M180" s="22" t="s">
        <v>422</v>
      </c>
    </row>
    <row r="181" spans="1:13" x14ac:dyDescent="0.2">
      <c r="A181" s="21" t="s">
        <v>347</v>
      </c>
      <c r="B181" s="26" t="str">
        <f>IFERROR(INDEX(Alumnos!$B$2:$B$31,MATCH($A181,Alumnos!$A$2:$A$31,0))&amp;", "&amp;INDEX(Alumnos!$C$2:$C$31,MATCH($A181,Alumnos!$A$2:$A$31,0)),"")</f>
        <v>Sánchez, Facundo</v>
      </c>
      <c r="C181" s="21">
        <v>3</v>
      </c>
      <c r="D181" s="21" t="s">
        <v>88</v>
      </c>
      <c r="E181" s="21" t="s">
        <v>36</v>
      </c>
      <c r="F181" s="21" t="s">
        <v>366</v>
      </c>
      <c r="G181" s="26" t="str">
        <f>IFERROR(INDEX(Profesores!$B$2:$B$12,MATCH($F181,Profesores!$A$2:$A$12,0))&amp;" "&amp;INDEX(Profesores!$C$2:$C$12,MATCH($F181,Profesores!$A$2:$A$12,0)),"")</f>
        <v>Fernández Marcelo</v>
      </c>
      <c r="H181" s="21">
        <v>4</v>
      </c>
      <c r="I181" s="21">
        <v>10</v>
      </c>
      <c r="J181" s="21">
        <v>9</v>
      </c>
      <c r="K181" s="27">
        <f t="shared" si="4"/>
        <v>7.666666666666667</v>
      </c>
      <c r="L181" s="26" t="str">
        <f t="shared" si="5"/>
        <v>Aprobado</v>
      </c>
      <c r="M181" s="22" t="s">
        <v>421</v>
      </c>
    </row>
    <row r="182" spans="1:13" x14ac:dyDescent="0.2">
      <c r="A182" s="21" t="s">
        <v>280</v>
      </c>
      <c r="B182" s="26" t="str">
        <f>IFERROR(INDEX(Alumnos!$B$2:$B$31,MATCH($A182,Alumnos!$A$2:$A$31,0))&amp;", "&amp;INDEX(Alumnos!$C$2:$C$31,MATCH($A182,Alumnos!$A$2:$A$31,0)),"")</f>
        <v>Molina, Milagros</v>
      </c>
      <c r="C182" s="21">
        <v>3</v>
      </c>
      <c r="D182" s="21" t="s">
        <v>88</v>
      </c>
      <c r="E182" s="21" t="s">
        <v>33</v>
      </c>
      <c r="F182" s="21" t="s">
        <v>370</v>
      </c>
      <c r="G182" s="26" t="str">
        <f>IFERROR(INDEX(Profesores!$B$2:$B$12,MATCH($F182,Profesores!$A$2:$A$12,0))&amp;" "&amp;INDEX(Profesores!$C$2:$C$12,MATCH($F182,Profesores!$A$2:$A$12,0)),"")</f>
        <v>Rodríguez Ana</v>
      </c>
      <c r="H182" s="21">
        <v>6</v>
      </c>
      <c r="I182" s="21">
        <v>4</v>
      </c>
      <c r="J182" s="21">
        <v>8</v>
      </c>
      <c r="K182" s="27">
        <f t="shared" si="4"/>
        <v>6</v>
      </c>
      <c r="L182" s="26" t="str">
        <f t="shared" si="5"/>
        <v>Aprobado</v>
      </c>
      <c r="M182" s="22"/>
    </row>
    <row r="183" spans="1:13" ht="25.5" x14ac:dyDescent="0.2">
      <c r="A183" s="21" t="s">
        <v>287</v>
      </c>
      <c r="B183" s="26" t="str">
        <f>IFERROR(INDEX(Alumnos!$B$2:$B$31,MATCH($A183,Alumnos!$A$2:$A$31,0))&amp;", "&amp;INDEX(Alumnos!$C$2:$C$31,MATCH($A183,Alumnos!$A$2:$A$31,0)),"")</f>
        <v>Rodríguez, Renata</v>
      </c>
      <c r="C183" s="21">
        <v>3</v>
      </c>
      <c r="D183" s="21" t="s">
        <v>88</v>
      </c>
      <c r="E183" s="21" t="s">
        <v>33</v>
      </c>
      <c r="F183" s="21" t="s">
        <v>370</v>
      </c>
      <c r="G183" s="26" t="str">
        <f>IFERROR(INDEX(Profesores!$B$2:$B$12,MATCH($F183,Profesores!$A$2:$A$12,0))&amp;" "&amp;INDEX(Profesores!$C$2:$C$12,MATCH($F183,Profesores!$A$2:$A$12,0)),"")</f>
        <v>Rodríguez Ana</v>
      </c>
      <c r="H183" s="21">
        <v>8</v>
      </c>
      <c r="I183" s="21">
        <v>9</v>
      </c>
      <c r="J183" s="21">
        <v>7</v>
      </c>
      <c r="K183" s="27">
        <f t="shared" si="4"/>
        <v>8</v>
      </c>
      <c r="L183" s="26" t="str">
        <f t="shared" si="5"/>
        <v>Aprobado</v>
      </c>
      <c r="M183" s="22" t="s">
        <v>422</v>
      </c>
    </row>
    <row r="184" spans="1:13" x14ac:dyDescent="0.2">
      <c r="A184" s="21" t="s">
        <v>294</v>
      </c>
      <c r="B184" s="26" t="str">
        <f>IFERROR(INDEX(Alumnos!$B$2:$B$31,MATCH($A184,Alumnos!$A$2:$A$31,0))&amp;", "&amp;INDEX(Alumnos!$C$2:$C$31,MATCH($A184,Alumnos!$A$2:$A$31,0)),"")</f>
        <v>Peralta, Franco</v>
      </c>
      <c r="C184" s="21">
        <v>3</v>
      </c>
      <c r="D184" s="21" t="s">
        <v>88</v>
      </c>
      <c r="E184" s="21" t="s">
        <v>33</v>
      </c>
      <c r="F184" s="21" t="s">
        <v>370</v>
      </c>
      <c r="G184" s="26" t="str">
        <f>IFERROR(INDEX(Profesores!$B$2:$B$12,MATCH($F184,Profesores!$A$2:$A$12,0))&amp;" "&amp;INDEX(Profesores!$C$2:$C$12,MATCH($F184,Profesores!$A$2:$A$12,0)),"")</f>
        <v>Rodríguez Ana</v>
      </c>
      <c r="H184" s="21">
        <v>10</v>
      </c>
      <c r="I184" s="21">
        <v>10</v>
      </c>
      <c r="J184" s="21">
        <v>5</v>
      </c>
      <c r="K184" s="27">
        <f t="shared" si="4"/>
        <v>8.3333333333333339</v>
      </c>
      <c r="L184" s="26" t="str">
        <f t="shared" si="5"/>
        <v>Aprobado</v>
      </c>
      <c r="M184" s="22" t="s">
        <v>426</v>
      </c>
    </row>
    <row r="185" spans="1:13" x14ac:dyDescent="0.2">
      <c r="A185" s="21" t="s">
        <v>302</v>
      </c>
      <c r="B185" s="26" t="str">
        <f>IFERROR(INDEX(Alumnos!$B$2:$B$31,MATCH($A185,Alumnos!$A$2:$A$31,0))&amp;", "&amp;INDEX(Alumnos!$C$2:$C$31,MATCH($A185,Alumnos!$A$2:$A$31,0)),"")</f>
        <v>Sánchez, Renata</v>
      </c>
      <c r="C185" s="21">
        <v>3</v>
      </c>
      <c r="D185" s="21" t="s">
        <v>88</v>
      </c>
      <c r="E185" s="21" t="s">
        <v>33</v>
      </c>
      <c r="F185" s="21" t="s">
        <v>370</v>
      </c>
      <c r="G185" s="26" t="str">
        <f>IFERROR(INDEX(Profesores!$B$2:$B$12,MATCH($F185,Profesores!$A$2:$A$12,0))&amp;" "&amp;INDEX(Profesores!$C$2:$C$12,MATCH($F185,Profesores!$A$2:$A$12,0)),"")</f>
        <v>Rodríguez Ana</v>
      </c>
      <c r="H185" s="21">
        <v>10</v>
      </c>
      <c r="I185" s="21">
        <v>6</v>
      </c>
      <c r="J185" s="21">
        <v>5</v>
      </c>
      <c r="K185" s="27">
        <f t="shared" si="4"/>
        <v>7</v>
      </c>
      <c r="L185" s="26" t="str">
        <f t="shared" si="5"/>
        <v>Aprobado</v>
      </c>
      <c r="M185" s="22" t="s">
        <v>425</v>
      </c>
    </row>
    <row r="186" spans="1:13" x14ac:dyDescent="0.2">
      <c r="A186" s="21" t="s">
        <v>309</v>
      </c>
      <c r="B186" s="26" t="str">
        <f>IFERROR(INDEX(Alumnos!$B$2:$B$31,MATCH($A186,Alumnos!$A$2:$A$31,0))&amp;", "&amp;INDEX(Alumnos!$C$2:$C$31,MATCH($A186,Alumnos!$A$2:$A$31,0)),"")</f>
        <v>Martínez, Benjamín</v>
      </c>
      <c r="C186" s="21">
        <v>3</v>
      </c>
      <c r="D186" s="21" t="s">
        <v>88</v>
      </c>
      <c r="E186" s="21" t="s">
        <v>33</v>
      </c>
      <c r="F186" s="21" t="s">
        <v>370</v>
      </c>
      <c r="G186" s="26" t="str">
        <f>IFERROR(INDEX(Profesores!$B$2:$B$12,MATCH($F186,Profesores!$A$2:$A$12,0))&amp;" "&amp;INDEX(Profesores!$C$2:$C$12,MATCH($F186,Profesores!$A$2:$A$12,0)),"")</f>
        <v>Rodríguez Ana</v>
      </c>
      <c r="H186" s="21">
        <v>8</v>
      </c>
      <c r="I186" s="21">
        <v>6</v>
      </c>
      <c r="J186" s="21">
        <v>9</v>
      </c>
      <c r="K186" s="27">
        <f t="shared" si="4"/>
        <v>7.666666666666667</v>
      </c>
      <c r="L186" s="26" t="str">
        <f t="shared" si="5"/>
        <v>Aprobado</v>
      </c>
      <c r="M186" s="22"/>
    </row>
    <row r="187" spans="1:13" x14ac:dyDescent="0.2">
      <c r="A187" s="21" t="s">
        <v>317</v>
      </c>
      <c r="B187" s="26" t="str">
        <f>IFERROR(INDEX(Alumnos!$B$2:$B$31,MATCH($A187,Alumnos!$A$2:$A$31,0))&amp;", "&amp;INDEX(Alumnos!$C$2:$C$31,MATCH($A187,Alumnos!$A$2:$A$31,0)),"")</f>
        <v>Medina, María</v>
      </c>
      <c r="C187" s="21">
        <v>3</v>
      </c>
      <c r="D187" s="21" t="s">
        <v>88</v>
      </c>
      <c r="E187" s="21" t="s">
        <v>33</v>
      </c>
      <c r="F187" s="21" t="s">
        <v>370</v>
      </c>
      <c r="G187" s="26" t="str">
        <f>IFERROR(INDEX(Profesores!$B$2:$B$12,MATCH($F187,Profesores!$A$2:$A$12,0))&amp;" "&amp;INDEX(Profesores!$C$2:$C$12,MATCH($F187,Profesores!$A$2:$A$12,0)),"")</f>
        <v>Rodríguez Ana</v>
      </c>
      <c r="H187" s="21">
        <v>9</v>
      </c>
      <c r="I187" s="21">
        <v>4</v>
      </c>
      <c r="J187" s="21">
        <v>9</v>
      </c>
      <c r="K187" s="27">
        <f t="shared" si="4"/>
        <v>7.333333333333333</v>
      </c>
      <c r="L187" s="26" t="str">
        <f t="shared" si="5"/>
        <v>Aprobado</v>
      </c>
      <c r="M187" s="22"/>
    </row>
    <row r="188" spans="1:13" x14ac:dyDescent="0.2">
      <c r="A188" s="21" t="s">
        <v>325</v>
      </c>
      <c r="B188" s="26" t="str">
        <f>IFERROR(INDEX(Alumnos!$B$2:$B$31,MATCH($A188,Alumnos!$A$2:$A$31,0))&amp;", "&amp;INDEX(Alumnos!$C$2:$C$31,MATCH($A188,Alumnos!$A$2:$A$31,0)),"")</f>
        <v>Molina, Facundo</v>
      </c>
      <c r="C188" s="21">
        <v>3</v>
      </c>
      <c r="D188" s="21" t="s">
        <v>88</v>
      </c>
      <c r="E188" s="21" t="s">
        <v>33</v>
      </c>
      <c r="F188" s="21" t="s">
        <v>370</v>
      </c>
      <c r="G188" s="26" t="str">
        <f>IFERROR(INDEX(Profesores!$B$2:$B$12,MATCH($F188,Profesores!$A$2:$A$12,0))&amp;" "&amp;INDEX(Profesores!$C$2:$C$12,MATCH($F188,Profesores!$A$2:$A$12,0)),"")</f>
        <v>Rodríguez Ana</v>
      </c>
      <c r="H188" s="21">
        <v>6</v>
      </c>
      <c r="I188" s="21">
        <v>10</v>
      </c>
      <c r="J188" s="21">
        <v>7</v>
      </c>
      <c r="K188" s="27">
        <f t="shared" si="4"/>
        <v>7.666666666666667</v>
      </c>
      <c r="L188" s="26" t="str">
        <f t="shared" si="5"/>
        <v>Aprobado</v>
      </c>
      <c r="M188" s="22"/>
    </row>
    <row r="189" spans="1:13" x14ac:dyDescent="0.2">
      <c r="A189" s="21" t="s">
        <v>332</v>
      </c>
      <c r="B189" s="26" t="str">
        <f>IFERROR(INDEX(Alumnos!$B$2:$B$31,MATCH($A189,Alumnos!$A$2:$A$31,0))&amp;", "&amp;INDEX(Alumnos!$C$2:$C$31,MATCH($A189,Alumnos!$A$2:$A$31,0)),"")</f>
        <v>Álvarez, Pilar</v>
      </c>
      <c r="C189" s="21">
        <v>3</v>
      </c>
      <c r="D189" s="21" t="s">
        <v>88</v>
      </c>
      <c r="E189" s="21" t="s">
        <v>33</v>
      </c>
      <c r="F189" s="21" t="s">
        <v>370</v>
      </c>
      <c r="G189" s="26" t="str">
        <f>IFERROR(INDEX(Profesores!$B$2:$B$12,MATCH($F189,Profesores!$A$2:$A$12,0))&amp;" "&amp;INDEX(Profesores!$C$2:$C$12,MATCH($F189,Profesores!$A$2:$A$12,0)),"")</f>
        <v>Rodríguez Ana</v>
      </c>
      <c r="H189" s="21">
        <v>8</v>
      </c>
      <c r="I189" s="21">
        <v>6</v>
      </c>
      <c r="J189" s="21">
        <v>9</v>
      </c>
      <c r="K189" s="27">
        <f t="shared" si="4"/>
        <v>7.666666666666667</v>
      </c>
      <c r="L189" s="26" t="str">
        <f t="shared" si="5"/>
        <v>Aprobado</v>
      </c>
      <c r="M189" s="22"/>
    </row>
    <row r="190" spans="1:13" x14ac:dyDescent="0.2">
      <c r="A190" s="21" t="s">
        <v>339</v>
      </c>
      <c r="B190" s="26" t="str">
        <f>IFERROR(INDEX(Alumnos!$B$2:$B$31,MATCH($A190,Alumnos!$A$2:$A$31,0))&amp;", "&amp;INDEX(Alumnos!$C$2:$C$31,MATCH($A190,Alumnos!$A$2:$A$31,0)),"")</f>
        <v>Suárez, Pilar</v>
      </c>
      <c r="C190" s="21">
        <v>3</v>
      </c>
      <c r="D190" s="21" t="s">
        <v>88</v>
      </c>
      <c r="E190" s="21" t="s">
        <v>33</v>
      </c>
      <c r="F190" s="21" t="s">
        <v>370</v>
      </c>
      <c r="G190" s="26" t="str">
        <f>IFERROR(INDEX(Profesores!$B$2:$B$12,MATCH($F190,Profesores!$A$2:$A$12,0))&amp;" "&amp;INDEX(Profesores!$C$2:$C$12,MATCH($F190,Profesores!$A$2:$A$12,0)),"")</f>
        <v>Rodríguez Ana</v>
      </c>
      <c r="H190" s="21">
        <v>4</v>
      </c>
      <c r="I190" s="21">
        <v>6</v>
      </c>
      <c r="J190" s="21">
        <v>6</v>
      </c>
      <c r="K190" s="27">
        <f t="shared" si="4"/>
        <v>5.333333333333333</v>
      </c>
      <c r="L190" s="26" t="str">
        <f t="shared" si="5"/>
        <v>Desaprobado</v>
      </c>
      <c r="M190" s="22" t="s">
        <v>421</v>
      </c>
    </row>
    <row r="191" spans="1:13" x14ac:dyDescent="0.2">
      <c r="A191" s="21" t="s">
        <v>347</v>
      </c>
      <c r="B191" s="26" t="str">
        <f>IFERROR(INDEX(Alumnos!$B$2:$B$31,MATCH($A191,Alumnos!$A$2:$A$31,0))&amp;", "&amp;INDEX(Alumnos!$C$2:$C$31,MATCH($A191,Alumnos!$A$2:$A$31,0)),"")</f>
        <v>Sánchez, Facundo</v>
      </c>
      <c r="C191" s="21">
        <v>3</v>
      </c>
      <c r="D191" s="21" t="s">
        <v>88</v>
      </c>
      <c r="E191" s="21" t="s">
        <v>33</v>
      </c>
      <c r="F191" s="21" t="s">
        <v>370</v>
      </c>
      <c r="G191" s="26" t="str">
        <f>IFERROR(INDEX(Profesores!$B$2:$B$12,MATCH($F191,Profesores!$A$2:$A$12,0))&amp;" "&amp;INDEX(Profesores!$C$2:$C$12,MATCH($F191,Profesores!$A$2:$A$12,0)),"")</f>
        <v>Rodríguez Ana</v>
      </c>
      <c r="H191" s="21">
        <v>5</v>
      </c>
      <c r="I191" s="21">
        <v>5</v>
      </c>
      <c r="J191" s="21">
        <v>5</v>
      </c>
      <c r="K191" s="27">
        <f t="shared" si="4"/>
        <v>5</v>
      </c>
      <c r="L191" s="26" t="str">
        <f t="shared" si="5"/>
        <v>Desaprobado</v>
      </c>
      <c r="M191" s="22" t="s">
        <v>423</v>
      </c>
    </row>
    <row r="192" spans="1:13" ht="25.5" x14ac:dyDescent="0.2">
      <c r="A192" s="21" t="s">
        <v>280</v>
      </c>
      <c r="B192" s="26" t="str">
        <f>IFERROR(INDEX(Alumnos!$B$2:$B$31,MATCH($A192,Alumnos!$A$2:$A$31,0))&amp;", "&amp;INDEX(Alumnos!$C$2:$C$31,MATCH($A192,Alumnos!$A$2:$A$31,0)),"")</f>
        <v>Molina, Milagros</v>
      </c>
      <c r="C192" s="21">
        <v>3</v>
      </c>
      <c r="D192" s="21" t="s">
        <v>88</v>
      </c>
      <c r="E192" s="21" t="s">
        <v>32</v>
      </c>
      <c r="F192" s="21" t="s">
        <v>374</v>
      </c>
      <c r="G192" s="26" t="str">
        <f>IFERROR(INDEX(Profesores!$B$2:$B$12,MATCH($F192,Profesores!$A$2:$A$12,0))&amp;" "&amp;INDEX(Profesores!$C$2:$C$12,MATCH($F192,Profesores!$A$2:$A$12,0)),"")</f>
        <v>Pérez Diego</v>
      </c>
      <c r="H192" s="21">
        <v>6</v>
      </c>
      <c r="I192" s="21">
        <v>8</v>
      </c>
      <c r="J192" s="21">
        <v>8</v>
      </c>
      <c r="K192" s="27">
        <f t="shared" si="4"/>
        <v>7.333333333333333</v>
      </c>
      <c r="L192" s="26" t="str">
        <f t="shared" si="5"/>
        <v>Aprobado</v>
      </c>
      <c r="M192" s="22" t="s">
        <v>422</v>
      </c>
    </row>
    <row r="193" spans="1:13" x14ac:dyDescent="0.2">
      <c r="A193" s="21" t="s">
        <v>287</v>
      </c>
      <c r="B193" s="26" t="str">
        <f>IFERROR(INDEX(Alumnos!$B$2:$B$31,MATCH($A193,Alumnos!$A$2:$A$31,0))&amp;", "&amp;INDEX(Alumnos!$C$2:$C$31,MATCH($A193,Alumnos!$A$2:$A$31,0)),"")</f>
        <v>Rodríguez, Renata</v>
      </c>
      <c r="C193" s="21">
        <v>3</v>
      </c>
      <c r="D193" s="21" t="s">
        <v>88</v>
      </c>
      <c r="E193" s="21" t="s">
        <v>32</v>
      </c>
      <c r="F193" s="21" t="s">
        <v>374</v>
      </c>
      <c r="G193" s="26" t="str">
        <f>IFERROR(INDEX(Profesores!$B$2:$B$12,MATCH($F193,Profesores!$A$2:$A$12,0))&amp;" "&amp;INDEX(Profesores!$C$2:$C$12,MATCH($F193,Profesores!$A$2:$A$12,0)),"")</f>
        <v>Pérez Diego</v>
      </c>
      <c r="H193" s="21">
        <v>10</v>
      </c>
      <c r="I193" s="21">
        <v>5</v>
      </c>
      <c r="J193" s="21">
        <v>6</v>
      </c>
      <c r="K193" s="27">
        <f t="shared" si="4"/>
        <v>7</v>
      </c>
      <c r="L193" s="26" t="str">
        <f t="shared" si="5"/>
        <v>Aprobado</v>
      </c>
      <c r="M193" s="22" t="s">
        <v>424</v>
      </c>
    </row>
    <row r="194" spans="1:13" x14ac:dyDescent="0.2">
      <c r="A194" s="21" t="s">
        <v>294</v>
      </c>
      <c r="B194" s="26" t="str">
        <f>IFERROR(INDEX(Alumnos!$B$2:$B$31,MATCH($A194,Alumnos!$A$2:$A$31,0))&amp;", "&amp;INDEX(Alumnos!$C$2:$C$31,MATCH($A194,Alumnos!$A$2:$A$31,0)),"")</f>
        <v>Peralta, Franco</v>
      </c>
      <c r="C194" s="21">
        <v>3</v>
      </c>
      <c r="D194" s="21" t="s">
        <v>88</v>
      </c>
      <c r="E194" s="21" t="s">
        <v>32</v>
      </c>
      <c r="F194" s="21" t="s">
        <v>374</v>
      </c>
      <c r="G194" s="26" t="str">
        <f>IFERROR(INDEX(Profesores!$B$2:$B$12,MATCH($F194,Profesores!$A$2:$A$12,0))&amp;" "&amp;INDEX(Profesores!$C$2:$C$12,MATCH($F194,Profesores!$A$2:$A$12,0)),"")</f>
        <v>Pérez Diego</v>
      </c>
      <c r="H194" s="21">
        <v>10</v>
      </c>
      <c r="I194" s="21">
        <v>6</v>
      </c>
      <c r="J194" s="21">
        <v>9</v>
      </c>
      <c r="K194" s="27">
        <f t="shared" ref="K194:K241" si="6">IFERROR(AVERAGE($H194:$J194),"")</f>
        <v>8.3333333333333339</v>
      </c>
      <c r="L194" s="26" t="str">
        <f t="shared" ref="L194:L241" si="7">IF($K194="","",IF($K194&gt;=6,"Aprobado","Desaprobado"))</f>
        <v>Aprobado</v>
      </c>
      <c r="M194" s="22" t="s">
        <v>420</v>
      </c>
    </row>
    <row r="195" spans="1:13" x14ac:dyDescent="0.2">
      <c r="A195" s="21" t="s">
        <v>302</v>
      </c>
      <c r="B195" s="26" t="str">
        <f>IFERROR(INDEX(Alumnos!$B$2:$B$31,MATCH($A195,Alumnos!$A$2:$A$31,0))&amp;", "&amp;INDEX(Alumnos!$C$2:$C$31,MATCH($A195,Alumnos!$A$2:$A$31,0)),"")</f>
        <v>Sánchez, Renata</v>
      </c>
      <c r="C195" s="21">
        <v>3</v>
      </c>
      <c r="D195" s="21" t="s">
        <v>88</v>
      </c>
      <c r="E195" s="21" t="s">
        <v>32</v>
      </c>
      <c r="F195" s="21" t="s">
        <v>374</v>
      </c>
      <c r="G195" s="26" t="str">
        <f>IFERROR(INDEX(Profesores!$B$2:$B$12,MATCH($F195,Profesores!$A$2:$A$12,0))&amp;" "&amp;INDEX(Profesores!$C$2:$C$12,MATCH($F195,Profesores!$A$2:$A$12,0)),"")</f>
        <v>Pérez Diego</v>
      </c>
      <c r="H195" s="21">
        <v>10</v>
      </c>
      <c r="I195" s="21">
        <v>4</v>
      </c>
      <c r="J195" s="21">
        <v>7</v>
      </c>
      <c r="K195" s="27">
        <f t="shared" si="6"/>
        <v>7</v>
      </c>
      <c r="L195" s="26" t="str">
        <f t="shared" si="7"/>
        <v>Aprobado</v>
      </c>
      <c r="M195" s="22"/>
    </row>
    <row r="196" spans="1:13" x14ac:dyDescent="0.2">
      <c r="A196" s="21" t="s">
        <v>309</v>
      </c>
      <c r="B196" s="26" t="str">
        <f>IFERROR(INDEX(Alumnos!$B$2:$B$31,MATCH($A196,Alumnos!$A$2:$A$31,0))&amp;", "&amp;INDEX(Alumnos!$C$2:$C$31,MATCH($A196,Alumnos!$A$2:$A$31,0)),"")</f>
        <v>Martínez, Benjamín</v>
      </c>
      <c r="C196" s="21">
        <v>3</v>
      </c>
      <c r="D196" s="21" t="s">
        <v>88</v>
      </c>
      <c r="E196" s="21" t="s">
        <v>32</v>
      </c>
      <c r="F196" s="21" t="s">
        <v>374</v>
      </c>
      <c r="G196" s="26" t="str">
        <f>IFERROR(INDEX(Profesores!$B$2:$B$12,MATCH($F196,Profesores!$A$2:$A$12,0))&amp;" "&amp;INDEX(Profesores!$C$2:$C$12,MATCH($F196,Profesores!$A$2:$A$12,0)),"")</f>
        <v>Pérez Diego</v>
      </c>
      <c r="H196" s="21">
        <v>5</v>
      </c>
      <c r="I196" s="21">
        <v>10</v>
      </c>
      <c r="J196" s="21">
        <v>5</v>
      </c>
      <c r="K196" s="27">
        <f t="shared" si="6"/>
        <v>6.666666666666667</v>
      </c>
      <c r="L196" s="26" t="str">
        <f t="shared" si="7"/>
        <v>Aprobado</v>
      </c>
      <c r="M196" s="22" t="s">
        <v>421</v>
      </c>
    </row>
    <row r="197" spans="1:13" x14ac:dyDescent="0.2">
      <c r="A197" s="21" t="s">
        <v>317</v>
      </c>
      <c r="B197" s="26" t="str">
        <f>IFERROR(INDEX(Alumnos!$B$2:$B$31,MATCH($A197,Alumnos!$A$2:$A$31,0))&amp;", "&amp;INDEX(Alumnos!$C$2:$C$31,MATCH($A197,Alumnos!$A$2:$A$31,0)),"")</f>
        <v>Medina, María</v>
      </c>
      <c r="C197" s="21">
        <v>3</v>
      </c>
      <c r="D197" s="21" t="s">
        <v>88</v>
      </c>
      <c r="E197" s="21" t="s">
        <v>32</v>
      </c>
      <c r="F197" s="21" t="s">
        <v>374</v>
      </c>
      <c r="G197" s="26" t="str">
        <f>IFERROR(INDEX(Profesores!$B$2:$B$12,MATCH($F197,Profesores!$A$2:$A$12,0))&amp;" "&amp;INDEX(Profesores!$C$2:$C$12,MATCH($F197,Profesores!$A$2:$A$12,0)),"")</f>
        <v>Pérez Diego</v>
      </c>
      <c r="H197" s="21">
        <v>10</v>
      </c>
      <c r="I197" s="21">
        <v>10</v>
      </c>
      <c r="J197" s="21">
        <v>8</v>
      </c>
      <c r="K197" s="27">
        <f t="shared" si="6"/>
        <v>9.3333333333333339</v>
      </c>
      <c r="L197" s="26" t="str">
        <f t="shared" si="7"/>
        <v>Aprobado</v>
      </c>
      <c r="M197" s="22" t="s">
        <v>420</v>
      </c>
    </row>
    <row r="198" spans="1:13" x14ac:dyDescent="0.2">
      <c r="A198" s="21" t="s">
        <v>325</v>
      </c>
      <c r="B198" s="26" t="str">
        <f>IFERROR(INDEX(Alumnos!$B$2:$B$31,MATCH($A198,Alumnos!$A$2:$A$31,0))&amp;", "&amp;INDEX(Alumnos!$C$2:$C$31,MATCH($A198,Alumnos!$A$2:$A$31,0)),"")</f>
        <v>Molina, Facundo</v>
      </c>
      <c r="C198" s="21">
        <v>3</v>
      </c>
      <c r="D198" s="21" t="s">
        <v>88</v>
      </c>
      <c r="E198" s="21" t="s">
        <v>32</v>
      </c>
      <c r="F198" s="21" t="s">
        <v>374</v>
      </c>
      <c r="G198" s="26" t="str">
        <f>IFERROR(INDEX(Profesores!$B$2:$B$12,MATCH($F198,Profesores!$A$2:$A$12,0))&amp;" "&amp;INDEX(Profesores!$C$2:$C$12,MATCH($F198,Profesores!$A$2:$A$12,0)),"")</f>
        <v>Pérez Diego</v>
      </c>
      <c r="H198" s="21">
        <v>4</v>
      </c>
      <c r="I198" s="21">
        <v>10</v>
      </c>
      <c r="J198" s="21">
        <v>7</v>
      </c>
      <c r="K198" s="27">
        <f t="shared" si="6"/>
        <v>7</v>
      </c>
      <c r="L198" s="26" t="str">
        <f t="shared" si="7"/>
        <v>Aprobado</v>
      </c>
      <c r="M198" s="22"/>
    </row>
    <row r="199" spans="1:13" x14ac:dyDescent="0.2">
      <c r="A199" s="21" t="s">
        <v>332</v>
      </c>
      <c r="B199" s="26" t="str">
        <f>IFERROR(INDEX(Alumnos!$B$2:$B$31,MATCH($A199,Alumnos!$A$2:$A$31,0))&amp;", "&amp;INDEX(Alumnos!$C$2:$C$31,MATCH($A199,Alumnos!$A$2:$A$31,0)),"")</f>
        <v>Álvarez, Pilar</v>
      </c>
      <c r="C199" s="21">
        <v>3</v>
      </c>
      <c r="D199" s="21" t="s">
        <v>88</v>
      </c>
      <c r="E199" s="21" t="s">
        <v>32</v>
      </c>
      <c r="F199" s="21" t="s">
        <v>374</v>
      </c>
      <c r="G199" s="26" t="str">
        <f>IFERROR(INDEX(Profesores!$B$2:$B$12,MATCH($F199,Profesores!$A$2:$A$12,0))&amp;" "&amp;INDEX(Profesores!$C$2:$C$12,MATCH($F199,Profesores!$A$2:$A$12,0)),"")</f>
        <v>Pérez Diego</v>
      </c>
      <c r="H199" s="21">
        <v>6</v>
      </c>
      <c r="I199" s="21">
        <v>8</v>
      </c>
      <c r="J199" s="21">
        <v>4</v>
      </c>
      <c r="K199" s="27">
        <f t="shared" si="6"/>
        <v>6</v>
      </c>
      <c r="L199" s="26" t="str">
        <f t="shared" si="7"/>
        <v>Aprobado</v>
      </c>
      <c r="M199" s="22" t="s">
        <v>424</v>
      </c>
    </row>
    <row r="200" spans="1:13" ht="25.5" x14ac:dyDescent="0.2">
      <c r="A200" s="21" t="s">
        <v>339</v>
      </c>
      <c r="B200" s="26" t="str">
        <f>IFERROR(INDEX(Alumnos!$B$2:$B$31,MATCH($A200,Alumnos!$A$2:$A$31,0))&amp;", "&amp;INDEX(Alumnos!$C$2:$C$31,MATCH($A200,Alumnos!$A$2:$A$31,0)),"")</f>
        <v>Suárez, Pilar</v>
      </c>
      <c r="C200" s="21">
        <v>3</v>
      </c>
      <c r="D200" s="21" t="s">
        <v>88</v>
      </c>
      <c r="E200" s="21" t="s">
        <v>32</v>
      </c>
      <c r="F200" s="21" t="s">
        <v>374</v>
      </c>
      <c r="G200" s="26" t="str">
        <f>IFERROR(INDEX(Profesores!$B$2:$B$12,MATCH($F200,Profesores!$A$2:$A$12,0))&amp;" "&amp;INDEX(Profesores!$C$2:$C$12,MATCH($F200,Profesores!$A$2:$A$12,0)),"")</f>
        <v>Pérez Diego</v>
      </c>
      <c r="H200" s="21">
        <v>6</v>
      </c>
      <c r="I200" s="21">
        <v>9</v>
      </c>
      <c r="J200" s="21">
        <v>9</v>
      </c>
      <c r="K200" s="27">
        <f t="shared" si="6"/>
        <v>8</v>
      </c>
      <c r="L200" s="26" t="str">
        <f t="shared" si="7"/>
        <v>Aprobado</v>
      </c>
      <c r="M200" s="22" t="s">
        <v>422</v>
      </c>
    </row>
    <row r="201" spans="1:13" x14ac:dyDescent="0.2">
      <c r="A201" s="21" t="s">
        <v>347</v>
      </c>
      <c r="B201" s="26" t="str">
        <f>IFERROR(INDEX(Alumnos!$B$2:$B$31,MATCH($A201,Alumnos!$A$2:$A$31,0))&amp;", "&amp;INDEX(Alumnos!$C$2:$C$31,MATCH($A201,Alumnos!$A$2:$A$31,0)),"")</f>
        <v>Sánchez, Facundo</v>
      </c>
      <c r="C201" s="21">
        <v>3</v>
      </c>
      <c r="D201" s="21" t="s">
        <v>88</v>
      </c>
      <c r="E201" s="21" t="s">
        <v>32</v>
      </c>
      <c r="F201" s="21" t="s">
        <v>374</v>
      </c>
      <c r="G201" s="26" t="str">
        <f>IFERROR(INDEX(Profesores!$B$2:$B$12,MATCH($F201,Profesores!$A$2:$A$12,0))&amp;" "&amp;INDEX(Profesores!$C$2:$C$12,MATCH($F201,Profesores!$A$2:$A$12,0)),"")</f>
        <v>Pérez Diego</v>
      </c>
      <c r="H201" s="21">
        <v>8</v>
      </c>
      <c r="I201" s="21">
        <v>7</v>
      </c>
      <c r="J201" s="21">
        <v>10</v>
      </c>
      <c r="K201" s="27">
        <f t="shared" si="6"/>
        <v>8.3333333333333339</v>
      </c>
      <c r="L201" s="26" t="str">
        <f t="shared" si="7"/>
        <v>Aprobado</v>
      </c>
      <c r="M201" s="22" t="s">
        <v>420</v>
      </c>
    </row>
    <row r="202" spans="1:13" x14ac:dyDescent="0.2">
      <c r="A202" s="21" t="s">
        <v>280</v>
      </c>
      <c r="B202" s="26" t="str">
        <f>IFERROR(INDEX(Alumnos!$B$2:$B$31,MATCH($A202,Alumnos!$A$2:$A$31,0))&amp;", "&amp;INDEX(Alumnos!$C$2:$C$31,MATCH($A202,Alumnos!$A$2:$A$31,0)),"")</f>
        <v>Molina, Milagros</v>
      </c>
      <c r="C202" s="21">
        <v>3</v>
      </c>
      <c r="D202" s="21" t="s">
        <v>88</v>
      </c>
      <c r="E202" s="21" t="s">
        <v>24</v>
      </c>
      <c r="F202" s="21" t="s">
        <v>378</v>
      </c>
      <c r="G202" s="26" t="str">
        <f>IFERROR(INDEX(Profesores!$B$2:$B$12,MATCH($F202,Profesores!$A$2:$A$12,0))&amp;" "&amp;INDEX(Profesores!$C$2:$C$12,MATCH($F202,Profesores!$A$2:$A$12,0)),"")</f>
        <v>López Carla</v>
      </c>
      <c r="H202" s="21">
        <v>4</v>
      </c>
      <c r="I202" s="21">
        <v>9</v>
      </c>
      <c r="J202" s="21">
        <v>5</v>
      </c>
      <c r="K202" s="27">
        <f t="shared" si="6"/>
        <v>6</v>
      </c>
      <c r="L202" s="26" t="str">
        <f t="shared" si="7"/>
        <v>Aprobado</v>
      </c>
      <c r="M202" s="22" t="s">
        <v>424</v>
      </c>
    </row>
    <row r="203" spans="1:13" x14ac:dyDescent="0.2">
      <c r="A203" s="21" t="s">
        <v>287</v>
      </c>
      <c r="B203" s="26" t="str">
        <f>IFERROR(INDEX(Alumnos!$B$2:$B$31,MATCH($A203,Alumnos!$A$2:$A$31,0))&amp;", "&amp;INDEX(Alumnos!$C$2:$C$31,MATCH($A203,Alumnos!$A$2:$A$31,0)),"")</f>
        <v>Rodríguez, Renata</v>
      </c>
      <c r="C203" s="21">
        <v>3</v>
      </c>
      <c r="D203" s="21" t="s">
        <v>88</v>
      </c>
      <c r="E203" s="21" t="s">
        <v>24</v>
      </c>
      <c r="F203" s="21" t="s">
        <v>378</v>
      </c>
      <c r="G203" s="26" t="str">
        <f>IFERROR(INDEX(Profesores!$B$2:$B$12,MATCH($F203,Profesores!$A$2:$A$12,0))&amp;" "&amp;INDEX(Profesores!$C$2:$C$12,MATCH($F203,Profesores!$A$2:$A$12,0)),"")</f>
        <v>López Carla</v>
      </c>
      <c r="H203" s="21">
        <v>4</v>
      </c>
      <c r="I203" s="21">
        <v>8</v>
      </c>
      <c r="J203" s="21">
        <v>8</v>
      </c>
      <c r="K203" s="27">
        <f t="shared" si="6"/>
        <v>6.666666666666667</v>
      </c>
      <c r="L203" s="26" t="str">
        <f t="shared" si="7"/>
        <v>Aprobado</v>
      </c>
      <c r="M203" s="22" t="s">
        <v>420</v>
      </c>
    </row>
    <row r="204" spans="1:13" x14ac:dyDescent="0.2">
      <c r="A204" s="21" t="s">
        <v>294</v>
      </c>
      <c r="B204" s="26" t="str">
        <f>IFERROR(INDEX(Alumnos!$B$2:$B$31,MATCH($A204,Alumnos!$A$2:$A$31,0))&amp;", "&amp;INDEX(Alumnos!$C$2:$C$31,MATCH($A204,Alumnos!$A$2:$A$31,0)),"")</f>
        <v>Peralta, Franco</v>
      </c>
      <c r="C204" s="21">
        <v>3</v>
      </c>
      <c r="D204" s="21" t="s">
        <v>88</v>
      </c>
      <c r="E204" s="21" t="s">
        <v>24</v>
      </c>
      <c r="F204" s="21" t="s">
        <v>378</v>
      </c>
      <c r="G204" s="26" t="str">
        <f>IFERROR(INDEX(Profesores!$B$2:$B$12,MATCH($F204,Profesores!$A$2:$A$12,0))&amp;" "&amp;INDEX(Profesores!$C$2:$C$12,MATCH($F204,Profesores!$A$2:$A$12,0)),"")</f>
        <v>López Carla</v>
      </c>
      <c r="H204" s="21">
        <v>8</v>
      </c>
      <c r="I204" s="21">
        <v>5</v>
      </c>
      <c r="J204" s="21">
        <v>9</v>
      </c>
      <c r="K204" s="27">
        <f t="shared" si="6"/>
        <v>7.333333333333333</v>
      </c>
      <c r="L204" s="26" t="str">
        <f t="shared" si="7"/>
        <v>Aprobado</v>
      </c>
      <c r="M204" s="22"/>
    </row>
    <row r="205" spans="1:13" ht="25.5" x14ac:dyDescent="0.2">
      <c r="A205" s="21" t="s">
        <v>302</v>
      </c>
      <c r="B205" s="26" t="str">
        <f>IFERROR(INDEX(Alumnos!$B$2:$B$31,MATCH($A205,Alumnos!$A$2:$A$31,0))&amp;", "&amp;INDEX(Alumnos!$C$2:$C$31,MATCH($A205,Alumnos!$A$2:$A$31,0)),"")</f>
        <v>Sánchez, Renata</v>
      </c>
      <c r="C205" s="21">
        <v>3</v>
      </c>
      <c r="D205" s="21" t="s">
        <v>88</v>
      </c>
      <c r="E205" s="21" t="s">
        <v>24</v>
      </c>
      <c r="F205" s="21" t="s">
        <v>378</v>
      </c>
      <c r="G205" s="26" t="str">
        <f>IFERROR(INDEX(Profesores!$B$2:$B$12,MATCH($F205,Profesores!$A$2:$A$12,0))&amp;" "&amp;INDEX(Profesores!$C$2:$C$12,MATCH($F205,Profesores!$A$2:$A$12,0)),"")</f>
        <v>López Carla</v>
      </c>
      <c r="H205" s="21">
        <v>9</v>
      </c>
      <c r="I205" s="21">
        <v>10</v>
      </c>
      <c r="J205" s="21">
        <v>7</v>
      </c>
      <c r="K205" s="27">
        <f t="shared" si="6"/>
        <v>8.6666666666666661</v>
      </c>
      <c r="L205" s="26" t="str">
        <f t="shared" si="7"/>
        <v>Aprobado</v>
      </c>
      <c r="M205" s="22" t="s">
        <v>422</v>
      </c>
    </row>
    <row r="206" spans="1:13" x14ac:dyDescent="0.2">
      <c r="A206" s="21" t="s">
        <v>309</v>
      </c>
      <c r="B206" s="26" t="str">
        <f>IFERROR(INDEX(Alumnos!$B$2:$B$31,MATCH($A206,Alumnos!$A$2:$A$31,0))&amp;", "&amp;INDEX(Alumnos!$C$2:$C$31,MATCH($A206,Alumnos!$A$2:$A$31,0)),"")</f>
        <v>Martínez, Benjamín</v>
      </c>
      <c r="C206" s="21">
        <v>3</v>
      </c>
      <c r="D206" s="21" t="s">
        <v>88</v>
      </c>
      <c r="E206" s="21" t="s">
        <v>24</v>
      </c>
      <c r="F206" s="21" t="s">
        <v>378</v>
      </c>
      <c r="G206" s="26" t="str">
        <f>IFERROR(INDEX(Profesores!$B$2:$B$12,MATCH($F206,Profesores!$A$2:$A$12,0))&amp;" "&amp;INDEX(Profesores!$C$2:$C$12,MATCH($F206,Profesores!$A$2:$A$12,0)),"")</f>
        <v>López Carla</v>
      </c>
      <c r="H206" s="21">
        <v>9</v>
      </c>
      <c r="I206" s="21">
        <v>7</v>
      </c>
      <c r="J206" s="21">
        <v>4</v>
      </c>
      <c r="K206" s="27">
        <f t="shared" si="6"/>
        <v>6.666666666666667</v>
      </c>
      <c r="L206" s="26" t="str">
        <f t="shared" si="7"/>
        <v>Aprobado</v>
      </c>
      <c r="M206" s="22"/>
    </row>
    <row r="207" spans="1:13" x14ac:dyDescent="0.2">
      <c r="A207" s="21" t="s">
        <v>317</v>
      </c>
      <c r="B207" s="26" t="str">
        <f>IFERROR(INDEX(Alumnos!$B$2:$B$31,MATCH($A207,Alumnos!$A$2:$A$31,0))&amp;", "&amp;INDEX(Alumnos!$C$2:$C$31,MATCH($A207,Alumnos!$A$2:$A$31,0)),"")</f>
        <v>Medina, María</v>
      </c>
      <c r="C207" s="21">
        <v>3</v>
      </c>
      <c r="D207" s="21" t="s">
        <v>88</v>
      </c>
      <c r="E207" s="21" t="s">
        <v>24</v>
      </c>
      <c r="F207" s="21" t="s">
        <v>378</v>
      </c>
      <c r="G207" s="26" t="str">
        <f>IFERROR(INDEX(Profesores!$B$2:$B$12,MATCH($F207,Profesores!$A$2:$A$12,0))&amp;" "&amp;INDEX(Profesores!$C$2:$C$12,MATCH($F207,Profesores!$A$2:$A$12,0)),"")</f>
        <v>López Carla</v>
      </c>
      <c r="H207" s="21">
        <v>4</v>
      </c>
      <c r="I207" s="21">
        <v>4</v>
      </c>
      <c r="J207" s="21">
        <v>6</v>
      </c>
      <c r="K207" s="27">
        <f t="shared" si="6"/>
        <v>4.666666666666667</v>
      </c>
      <c r="L207" s="26" t="str">
        <f t="shared" si="7"/>
        <v>Desaprobado</v>
      </c>
      <c r="M207" s="22" t="s">
        <v>424</v>
      </c>
    </row>
    <row r="208" spans="1:13" x14ac:dyDescent="0.2">
      <c r="A208" s="21" t="s">
        <v>325</v>
      </c>
      <c r="B208" s="26" t="str">
        <f>IFERROR(INDEX(Alumnos!$B$2:$B$31,MATCH($A208,Alumnos!$A$2:$A$31,0))&amp;", "&amp;INDEX(Alumnos!$C$2:$C$31,MATCH($A208,Alumnos!$A$2:$A$31,0)),"")</f>
        <v>Molina, Facundo</v>
      </c>
      <c r="C208" s="21">
        <v>3</v>
      </c>
      <c r="D208" s="21" t="s">
        <v>88</v>
      </c>
      <c r="E208" s="21" t="s">
        <v>24</v>
      </c>
      <c r="F208" s="21" t="s">
        <v>378</v>
      </c>
      <c r="G208" s="26" t="str">
        <f>IFERROR(INDEX(Profesores!$B$2:$B$12,MATCH($F208,Profesores!$A$2:$A$12,0))&amp;" "&amp;INDEX(Profesores!$C$2:$C$12,MATCH($F208,Profesores!$A$2:$A$12,0)),"")</f>
        <v>López Carla</v>
      </c>
      <c r="H208" s="21">
        <v>4</v>
      </c>
      <c r="I208" s="21">
        <v>4</v>
      </c>
      <c r="J208" s="21">
        <v>5</v>
      </c>
      <c r="K208" s="27">
        <f t="shared" si="6"/>
        <v>4.333333333333333</v>
      </c>
      <c r="L208" s="26" t="str">
        <f t="shared" si="7"/>
        <v>Desaprobado</v>
      </c>
      <c r="M208" s="22" t="s">
        <v>423</v>
      </c>
    </row>
    <row r="209" spans="1:13" x14ac:dyDescent="0.2">
      <c r="A209" s="21" t="s">
        <v>332</v>
      </c>
      <c r="B209" s="26" t="str">
        <f>IFERROR(INDEX(Alumnos!$B$2:$B$31,MATCH($A209,Alumnos!$A$2:$A$31,0))&amp;", "&amp;INDEX(Alumnos!$C$2:$C$31,MATCH($A209,Alumnos!$A$2:$A$31,0)),"")</f>
        <v>Álvarez, Pilar</v>
      </c>
      <c r="C209" s="21">
        <v>3</v>
      </c>
      <c r="D209" s="21" t="s">
        <v>88</v>
      </c>
      <c r="E209" s="21" t="s">
        <v>24</v>
      </c>
      <c r="F209" s="21" t="s">
        <v>378</v>
      </c>
      <c r="G209" s="26" t="str">
        <f>IFERROR(INDEX(Profesores!$B$2:$B$12,MATCH($F209,Profesores!$A$2:$A$12,0))&amp;" "&amp;INDEX(Profesores!$C$2:$C$12,MATCH($F209,Profesores!$A$2:$A$12,0)),"")</f>
        <v>López Carla</v>
      </c>
      <c r="H209" s="21">
        <v>5</v>
      </c>
      <c r="I209" s="21">
        <v>7</v>
      </c>
      <c r="J209" s="21">
        <v>7</v>
      </c>
      <c r="K209" s="27">
        <f t="shared" si="6"/>
        <v>6.333333333333333</v>
      </c>
      <c r="L209" s="26" t="str">
        <f t="shared" si="7"/>
        <v>Aprobado</v>
      </c>
      <c r="M209" s="22" t="s">
        <v>420</v>
      </c>
    </row>
    <row r="210" spans="1:13" x14ac:dyDescent="0.2">
      <c r="A210" s="21" t="s">
        <v>339</v>
      </c>
      <c r="B210" s="26" t="str">
        <f>IFERROR(INDEX(Alumnos!$B$2:$B$31,MATCH($A210,Alumnos!$A$2:$A$31,0))&amp;", "&amp;INDEX(Alumnos!$C$2:$C$31,MATCH($A210,Alumnos!$A$2:$A$31,0)),"")</f>
        <v>Suárez, Pilar</v>
      </c>
      <c r="C210" s="21">
        <v>3</v>
      </c>
      <c r="D210" s="21" t="s">
        <v>88</v>
      </c>
      <c r="E210" s="21" t="s">
        <v>24</v>
      </c>
      <c r="F210" s="21" t="s">
        <v>378</v>
      </c>
      <c r="G210" s="26" t="str">
        <f>IFERROR(INDEX(Profesores!$B$2:$B$12,MATCH($F210,Profesores!$A$2:$A$12,0))&amp;" "&amp;INDEX(Profesores!$C$2:$C$12,MATCH($F210,Profesores!$A$2:$A$12,0)),"")</f>
        <v>López Carla</v>
      </c>
      <c r="H210" s="21">
        <v>9</v>
      </c>
      <c r="I210" s="21">
        <v>9</v>
      </c>
      <c r="J210" s="21">
        <v>9</v>
      </c>
      <c r="K210" s="27">
        <f t="shared" si="6"/>
        <v>9</v>
      </c>
      <c r="L210" s="26" t="str">
        <f t="shared" si="7"/>
        <v>Aprobado</v>
      </c>
      <c r="M210" s="22" t="s">
        <v>423</v>
      </c>
    </row>
    <row r="211" spans="1:13" x14ac:dyDescent="0.2">
      <c r="A211" s="21" t="s">
        <v>347</v>
      </c>
      <c r="B211" s="26" t="str">
        <f>IFERROR(INDEX(Alumnos!$B$2:$B$31,MATCH($A211,Alumnos!$A$2:$A$31,0))&amp;", "&amp;INDEX(Alumnos!$C$2:$C$31,MATCH($A211,Alumnos!$A$2:$A$31,0)),"")</f>
        <v>Sánchez, Facundo</v>
      </c>
      <c r="C211" s="21">
        <v>3</v>
      </c>
      <c r="D211" s="21" t="s">
        <v>88</v>
      </c>
      <c r="E211" s="21" t="s">
        <v>24</v>
      </c>
      <c r="F211" s="21" t="s">
        <v>378</v>
      </c>
      <c r="G211" s="26" t="str">
        <f>IFERROR(INDEX(Profesores!$B$2:$B$12,MATCH($F211,Profesores!$A$2:$A$12,0))&amp;" "&amp;INDEX(Profesores!$C$2:$C$12,MATCH($F211,Profesores!$A$2:$A$12,0)),"")</f>
        <v>López Carla</v>
      </c>
      <c r="H211" s="21">
        <v>7</v>
      </c>
      <c r="I211" s="21">
        <v>8</v>
      </c>
      <c r="J211" s="21">
        <v>9</v>
      </c>
      <c r="K211" s="27">
        <f t="shared" si="6"/>
        <v>8</v>
      </c>
      <c r="L211" s="26" t="str">
        <f t="shared" si="7"/>
        <v>Aprobado</v>
      </c>
      <c r="M211" s="22"/>
    </row>
    <row r="212" spans="1:13" x14ac:dyDescent="0.2">
      <c r="A212" s="21" t="s">
        <v>280</v>
      </c>
      <c r="B212" s="26" t="str">
        <f>IFERROR(INDEX(Alumnos!$B$2:$B$31,MATCH($A212,Alumnos!$A$2:$A$31,0))&amp;", "&amp;INDEX(Alumnos!$C$2:$C$31,MATCH($A212,Alumnos!$A$2:$A$31,0)),"")</f>
        <v>Molina, Milagros</v>
      </c>
      <c r="C212" s="21">
        <v>3</v>
      </c>
      <c r="D212" s="21" t="s">
        <v>88</v>
      </c>
      <c r="E212" s="21" t="s">
        <v>34</v>
      </c>
      <c r="F212" s="21" t="s">
        <v>383</v>
      </c>
      <c r="G212" s="26" t="str">
        <f>IFERROR(INDEX(Profesores!$B$2:$B$12,MATCH($F212,Profesores!$A$2:$A$12,0))&amp;" "&amp;INDEX(Profesores!$C$2:$C$12,MATCH($F212,Profesores!$A$2:$A$12,0)),"")</f>
        <v>Martínez Julián</v>
      </c>
      <c r="H212" s="21">
        <v>7</v>
      </c>
      <c r="I212" s="21">
        <v>9</v>
      </c>
      <c r="J212" s="21">
        <v>4</v>
      </c>
      <c r="K212" s="27">
        <f t="shared" si="6"/>
        <v>6.666666666666667</v>
      </c>
      <c r="L212" s="26" t="str">
        <f t="shared" si="7"/>
        <v>Aprobado</v>
      </c>
      <c r="M212" s="22" t="s">
        <v>424</v>
      </c>
    </row>
    <row r="213" spans="1:13" x14ac:dyDescent="0.2">
      <c r="A213" s="21" t="s">
        <v>287</v>
      </c>
      <c r="B213" s="26" t="str">
        <f>IFERROR(INDEX(Alumnos!$B$2:$B$31,MATCH($A213,Alumnos!$A$2:$A$31,0))&amp;", "&amp;INDEX(Alumnos!$C$2:$C$31,MATCH($A213,Alumnos!$A$2:$A$31,0)),"")</f>
        <v>Rodríguez, Renata</v>
      </c>
      <c r="C213" s="21">
        <v>3</v>
      </c>
      <c r="D213" s="21" t="s">
        <v>88</v>
      </c>
      <c r="E213" s="21" t="s">
        <v>34</v>
      </c>
      <c r="F213" s="21" t="s">
        <v>383</v>
      </c>
      <c r="G213" s="26" t="str">
        <f>IFERROR(INDEX(Profesores!$B$2:$B$12,MATCH($F213,Profesores!$A$2:$A$12,0))&amp;" "&amp;INDEX(Profesores!$C$2:$C$12,MATCH($F213,Profesores!$A$2:$A$12,0)),"")</f>
        <v>Martínez Julián</v>
      </c>
      <c r="H213" s="21">
        <v>8</v>
      </c>
      <c r="I213" s="21">
        <v>7</v>
      </c>
      <c r="J213" s="21">
        <v>6</v>
      </c>
      <c r="K213" s="27">
        <f t="shared" si="6"/>
        <v>7</v>
      </c>
      <c r="L213" s="26" t="str">
        <f t="shared" si="7"/>
        <v>Aprobado</v>
      </c>
      <c r="M213" s="22"/>
    </row>
    <row r="214" spans="1:13" x14ac:dyDescent="0.2">
      <c r="A214" s="21" t="s">
        <v>294</v>
      </c>
      <c r="B214" s="26" t="str">
        <f>IFERROR(INDEX(Alumnos!$B$2:$B$31,MATCH($A214,Alumnos!$A$2:$A$31,0))&amp;", "&amp;INDEX(Alumnos!$C$2:$C$31,MATCH($A214,Alumnos!$A$2:$A$31,0)),"")</f>
        <v>Peralta, Franco</v>
      </c>
      <c r="C214" s="21">
        <v>3</v>
      </c>
      <c r="D214" s="21" t="s">
        <v>88</v>
      </c>
      <c r="E214" s="21" t="s">
        <v>34</v>
      </c>
      <c r="F214" s="21" t="s">
        <v>383</v>
      </c>
      <c r="G214" s="26" t="str">
        <f>IFERROR(INDEX(Profesores!$B$2:$B$12,MATCH($F214,Profesores!$A$2:$A$12,0))&amp;" "&amp;INDEX(Profesores!$C$2:$C$12,MATCH($F214,Profesores!$A$2:$A$12,0)),"")</f>
        <v>Martínez Julián</v>
      </c>
      <c r="H214" s="21">
        <v>9</v>
      </c>
      <c r="I214" s="21">
        <v>6</v>
      </c>
      <c r="J214" s="21">
        <v>5</v>
      </c>
      <c r="K214" s="27">
        <f t="shared" si="6"/>
        <v>6.666666666666667</v>
      </c>
      <c r="L214" s="26" t="str">
        <f t="shared" si="7"/>
        <v>Aprobado</v>
      </c>
      <c r="M214" s="22" t="s">
        <v>424</v>
      </c>
    </row>
    <row r="215" spans="1:13" x14ac:dyDescent="0.2">
      <c r="A215" s="21" t="s">
        <v>302</v>
      </c>
      <c r="B215" s="26" t="str">
        <f>IFERROR(INDEX(Alumnos!$B$2:$B$31,MATCH($A215,Alumnos!$A$2:$A$31,0))&amp;", "&amp;INDEX(Alumnos!$C$2:$C$31,MATCH($A215,Alumnos!$A$2:$A$31,0)),"")</f>
        <v>Sánchez, Renata</v>
      </c>
      <c r="C215" s="21">
        <v>3</v>
      </c>
      <c r="D215" s="21" t="s">
        <v>88</v>
      </c>
      <c r="E215" s="21" t="s">
        <v>34</v>
      </c>
      <c r="F215" s="21" t="s">
        <v>383</v>
      </c>
      <c r="G215" s="26" t="str">
        <f>IFERROR(INDEX(Profesores!$B$2:$B$12,MATCH($F215,Profesores!$A$2:$A$12,0))&amp;" "&amp;INDEX(Profesores!$C$2:$C$12,MATCH($F215,Profesores!$A$2:$A$12,0)),"")</f>
        <v>Martínez Julián</v>
      </c>
      <c r="H215" s="21">
        <v>7</v>
      </c>
      <c r="I215" s="21">
        <v>5</v>
      </c>
      <c r="J215" s="21">
        <v>10</v>
      </c>
      <c r="K215" s="27">
        <f t="shared" si="6"/>
        <v>7.333333333333333</v>
      </c>
      <c r="L215" s="26" t="str">
        <f t="shared" si="7"/>
        <v>Aprobado</v>
      </c>
      <c r="M215" s="22" t="s">
        <v>420</v>
      </c>
    </row>
    <row r="216" spans="1:13" x14ac:dyDescent="0.2">
      <c r="A216" s="21" t="s">
        <v>309</v>
      </c>
      <c r="B216" s="26" t="str">
        <f>IFERROR(INDEX(Alumnos!$B$2:$B$31,MATCH($A216,Alumnos!$A$2:$A$31,0))&amp;", "&amp;INDEX(Alumnos!$C$2:$C$31,MATCH($A216,Alumnos!$A$2:$A$31,0)),"")</f>
        <v>Martínez, Benjamín</v>
      </c>
      <c r="C216" s="21">
        <v>3</v>
      </c>
      <c r="D216" s="21" t="s">
        <v>88</v>
      </c>
      <c r="E216" s="21" t="s">
        <v>34</v>
      </c>
      <c r="F216" s="21" t="s">
        <v>383</v>
      </c>
      <c r="G216" s="26" t="str">
        <f>IFERROR(INDEX(Profesores!$B$2:$B$12,MATCH($F216,Profesores!$A$2:$A$12,0))&amp;" "&amp;INDEX(Profesores!$C$2:$C$12,MATCH($F216,Profesores!$A$2:$A$12,0)),"")</f>
        <v>Martínez Julián</v>
      </c>
      <c r="H216" s="21">
        <v>4</v>
      </c>
      <c r="I216" s="21">
        <v>9</v>
      </c>
      <c r="J216" s="21">
        <v>6</v>
      </c>
      <c r="K216" s="27">
        <f t="shared" si="6"/>
        <v>6.333333333333333</v>
      </c>
      <c r="L216" s="26" t="str">
        <f t="shared" si="7"/>
        <v>Aprobado</v>
      </c>
      <c r="M216" s="22" t="s">
        <v>423</v>
      </c>
    </row>
    <row r="217" spans="1:13" x14ac:dyDescent="0.2">
      <c r="A217" s="21" t="s">
        <v>317</v>
      </c>
      <c r="B217" s="26" t="str">
        <f>IFERROR(INDEX(Alumnos!$B$2:$B$31,MATCH($A217,Alumnos!$A$2:$A$31,0))&amp;", "&amp;INDEX(Alumnos!$C$2:$C$31,MATCH($A217,Alumnos!$A$2:$A$31,0)),"")</f>
        <v>Medina, María</v>
      </c>
      <c r="C217" s="21">
        <v>3</v>
      </c>
      <c r="D217" s="21" t="s">
        <v>88</v>
      </c>
      <c r="E217" s="21" t="s">
        <v>34</v>
      </c>
      <c r="F217" s="21" t="s">
        <v>383</v>
      </c>
      <c r="G217" s="26" t="str">
        <f>IFERROR(INDEX(Profesores!$B$2:$B$12,MATCH($F217,Profesores!$A$2:$A$12,0))&amp;" "&amp;INDEX(Profesores!$C$2:$C$12,MATCH($F217,Profesores!$A$2:$A$12,0)),"")</f>
        <v>Martínez Julián</v>
      </c>
      <c r="H217" s="21">
        <v>9</v>
      </c>
      <c r="I217" s="21">
        <v>6</v>
      </c>
      <c r="J217" s="21">
        <v>4</v>
      </c>
      <c r="K217" s="27">
        <f t="shared" si="6"/>
        <v>6.333333333333333</v>
      </c>
      <c r="L217" s="26" t="str">
        <f t="shared" si="7"/>
        <v>Aprobado</v>
      </c>
      <c r="M217" s="22" t="s">
        <v>421</v>
      </c>
    </row>
    <row r="218" spans="1:13" x14ac:dyDescent="0.2">
      <c r="A218" s="21" t="s">
        <v>325</v>
      </c>
      <c r="B218" s="26" t="str">
        <f>IFERROR(INDEX(Alumnos!$B$2:$B$31,MATCH($A218,Alumnos!$A$2:$A$31,0))&amp;", "&amp;INDEX(Alumnos!$C$2:$C$31,MATCH($A218,Alumnos!$A$2:$A$31,0)),"")</f>
        <v>Molina, Facundo</v>
      </c>
      <c r="C218" s="21">
        <v>3</v>
      </c>
      <c r="D218" s="21" t="s">
        <v>88</v>
      </c>
      <c r="E218" s="21" t="s">
        <v>34</v>
      </c>
      <c r="F218" s="21" t="s">
        <v>383</v>
      </c>
      <c r="G218" s="26" t="str">
        <f>IFERROR(INDEX(Profesores!$B$2:$B$12,MATCH($F218,Profesores!$A$2:$A$12,0))&amp;" "&amp;INDEX(Profesores!$C$2:$C$12,MATCH($F218,Profesores!$A$2:$A$12,0)),"")</f>
        <v>Martínez Julián</v>
      </c>
      <c r="H218" s="21">
        <v>6</v>
      </c>
      <c r="I218" s="21">
        <v>5</v>
      </c>
      <c r="J218" s="21">
        <v>4</v>
      </c>
      <c r="K218" s="27">
        <f t="shared" si="6"/>
        <v>5</v>
      </c>
      <c r="L218" s="26" t="str">
        <f t="shared" si="7"/>
        <v>Desaprobado</v>
      </c>
      <c r="M218" s="22" t="s">
        <v>424</v>
      </c>
    </row>
    <row r="219" spans="1:13" x14ac:dyDescent="0.2">
      <c r="A219" s="21" t="s">
        <v>332</v>
      </c>
      <c r="B219" s="26" t="str">
        <f>IFERROR(INDEX(Alumnos!$B$2:$B$31,MATCH($A219,Alumnos!$A$2:$A$31,0))&amp;", "&amp;INDEX(Alumnos!$C$2:$C$31,MATCH($A219,Alumnos!$A$2:$A$31,0)),"")</f>
        <v>Álvarez, Pilar</v>
      </c>
      <c r="C219" s="21">
        <v>3</v>
      </c>
      <c r="D219" s="21" t="s">
        <v>88</v>
      </c>
      <c r="E219" s="21" t="s">
        <v>34</v>
      </c>
      <c r="F219" s="21" t="s">
        <v>383</v>
      </c>
      <c r="G219" s="26" t="str">
        <f>IFERROR(INDEX(Profesores!$B$2:$B$12,MATCH($F219,Profesores!$A$2:$A$12,0))&amp;" "&amp;INDEX(Profesores!$C$2:$C$12,MATCH($F219,Profesores!$A$2:$A$12,0)),"")</f>
        <v>Martínez Julián</v>
      </c>
      <c r="H219" s="21">
        <v>4</v>
      </c>
      <c r="I219" s="21">
        <v>9</v>
      </c>
      <c r="J219" s="21">
        <v>5</v>
      </c>
      <c r="K219" s="27">
        <f t="shared" si="6"/>
        <v>6</v>
      </c>
      <c r="L219" s="26" t="str">
        <f t="shared" si="7"/>
        <v>Aprobado</v>
      </c>
      <c r="M219" s="22" t="s">
        <v>426</v>
      </c>
    </row>
    <row r="220" spans="1:13" x14ac:dyDescent="0.2">
      <c r="A220" s="21" t="s">
        <v>339</v>
      </c>
      <c r="B220" s="26" t="str">
        <f>IFERROR(INDEX(Alumnos!$B$2:$B$31,MATCH($A220,Alumnos!$A$2:$A$31,0))&amp;", "&amp;INDEX(Alumnos!$C$2:$C$31,MATCH($A220,Alumnos!$A$2:$A$31,0)),"")</f>
        <v>Suárez, Pilar</v>
      </c>
      <c r="C220" s="21">
        <v>3</v>
      </c>
      <c r="D220" s="21" t="s">
        <v>88</v>
      </c>
      <c r="E220" s="21" t="s">
        <v>34</v>
      </c>
      <c r="F220" s="21" t="s">
        <v>383</v>
      </c>
      <c r="G220" s="26" t="str">
        <f>IFERROR(INDEX(Profesores!$B$2:$B$12,MATCH($F220,Profesores!$A$2:$A$12,0))&amp;" "&amp;INDEX(Profesores!$C$2:$C$12,MATCH($F220,Profesores!$A$2:$A$12,0)),"")</f>
        <v>Martínez Julián</v>
      </c>
      <c r="H220" s="21">
        <v>4</v>
      </c>
      <c r="I220" s="21">
        <v>4</v>
      </c>
      <c r="J220" s="21">
        <v>10</v>
      </c>
      <c r="K220" s="27">
        <f t="shared" si="6"/>
        <v>6</v>
      </c>
      <c r="L220" s="26" t="str">
        <f t="shared" si="7"/>
        <v>Aprobado</v>
      </c>
      <c r="M220" s="22" t="s">
        <v>420</v>
      </c>
    </row>
    <row r="221" spans="1:13" x14ac:dyDescent="0.2">
      <c r="A221" s="21" t="s">
        <v>347</v>
      </c>
      <c r="B221" s="26" t="str">
        <f>IFERROR(INDEX(Alumnos!$B$2:$B$31,MATCH($A221,Alumnos!$A$2:$A$31,0))&amp;", "&amp;INDEX(Alumnos!$C$2:$C$31,MATCH($A221,Alumnos!$A$2:$A$31,0)),"")</f>
        <v>Sánchez, Facundo</v>
      </c>
      <c r="C221" s="21">
        <v>3</v>
      </c>
      <c r="D221" s="21" t="s">
        <v>88</v>
      </c>
      <c r="E221" s="21" t="s">
        <v>34</v>
      </c>
      <c r="F221" s="21" t="s">
        <v>383</v>
      </c>
      <c r="G221" s="26" t="str">
        <f>IFERROR(INDEX(Profesores!$B$2:$B$12,MATCH($F221,Profesores!$A$2:$A$12,0))&amp;" "&amp;INDEX(Profesores!$C$2:$C$12,MATCH($F221,Profesores!$A$2:$A$12,0)),"")</f>
        <v>Martínez Julián</v>
      </c>
      <c r="H221" s="21">
        <v>5</v>
      </c>
      <c r="I221" s="21">
        <v>5</v>
      </c>
      <c r="J221" s="21">
        <v>10</v>
      </c>
      <c r="K221" s="27">
        <f t="shared" si="6"/>
        <v>6.666666666666667</v>
      </c>
      <c r="L221" s="26" t="str">
        <f t="shared" si="7"/>
        <v>Aprobado</v>
      </c>
      <c r="M221" s="22" t="s">
        <v>426</v>
      </c>
    </row>
    <row r="222" spans="1:13" x14ac:dyDescent="0.2">
      <c r="A222" s="21" t="s">
        <v>280</v>
      </c>
      <c r="B222" s="26" t="str">
        <f>IFERROR(INDEX(Alumnos!$B$2:$B$31,MATCH($A222,Alumnos!$A$2:$A$31,0))&amp;", "&amp;INDEX(Alumnos!$C$2:$C$31,MATCH($A222,Alumnos!$A$2:$A$31,0)),"")</f>
        <v>Molina, Milagros</v>
      </c>
      <c r="C222" s="21">
        <v>3</v>
      </c>
      <c r="D222" s="21" t="s">
        <v>88</v>
      </c>
      <c r="E222" s="21" t="s">
        <v>28</v>
      </c>
      <c r="F222" s="21" t="s">
        <v>387</v>
      </c>
      <c r="G222" s="26" t="str">
        <f>IFERROR(INDEX(Profesores!$B$2:$B$12,MATCH($F222,Profesores!$A$2:$A$12,0))&amp;" "&amp;INDEX(Profesores!$C$2:$C$12,MATCH($F222,Profesores!$A$2:$A$12,0)),"")</f>
        <v>Sánchez Pablo</v>
      </c>
      <c r="H222" s="21">
        <v>5</v>
      </c>
      <c r="I222" s="21">
        <v>4</v>
      </c>
      <c r="J222" s="21">
        <v>10</v>
      </c>
      <c r="K222" s="27">
        <f t="shared" si="6"/>
        <v>6.333333333333333</v>
      </c>
      <c r="L222" s="26" t="str">
        <f t="shared" si="7"/>
        <v>Aprobado</v>
      </c>
      <c r="M222" s="22" t="s">
        <v>423</v>
      </c>
    </row>
    <row r="223" spans="1:13" x14ac:dyDescent="0.2">
      <c r="A223" s="21" t="s">
        <v>287</v>
      </c>
      <c r="B223" s="26" t="str">
        <f>IFERROR(INDEX(Alumnos!$B$2:$B$31,MATCH($A223,Alumnos!$A$2:$A$31,0))&amp;", "&amp;INDEX(Alumnos!$C$2:$C$31,MATCH($A223,Alumnos!$A$2:$A$31,0)),"")</f>
        <v>Rodríguez, Renata</v>
      </c>
      <c r="C223" s="21">
        <v>3</v>
      </c>
      <c r="D223" s="21" t="s">
        <v>88</v>
      </c>
      <c r="E223" s="21" t="s">
        <v>28</v>
      </c>
      <c r="F223" s="21" t="s">
        <v>387</v>
      </c>
      <c r="G223" s="26" t="str">
        <f>IFERROR(INDEX(Profesores!$B$2:$B$12,MATCH($F223,Profesores!$A$2:$A$12,0))&amp;" "&amp;INDEX(Profesores!$C$2:$C$12,MATCH($F223,Profesores!$A$2:$A$12,0)),"")</f>
        <v>Sánchez Pablo</v>
      </c>
      <c r="H223" s="21">
        <v>5</v>
      </c>
      <c r="I223" s="21">
        <v>8</v>
      </c>
      <c r="J223" s="21">
        <v>5</v>
      </c>
      <c r="K223" s="27">
        <f t="shared" si="6"/>
        <v>6</v>
      </c>
      <c r="L223" s="26" t="str">
        <f t="shared" si="7"/>
        <v>Aprobado</v>
      </c>
      <c r="M223" s="22" t="s">
        <v>425</v>
      </c>
    </row>
    <row r="224" spans="1:13" x14ac:dyDescent="0.2">
      <c r="A224" s="21" t="s">
        <v>294</v>
      </c>
      <c r="B224" s="26" t="str">
        <f>IFERROR(INDEX(Alumnos!$B$2:$B$31,MATCH($A224,Alumnos!$A$2:$A$31,0))&amp;", "&amp;INDEX(Alumnos!$C$2:$C$31,MATCH($A224,Alumnos!$A$2:$A$31,0)),"")</f>
        <v>Peralta, Franco</v>
      </c>
      <c r="C224" s="21">
        <v>3</v>
      </c>
      <c r="D224" s="21" t="s">
        <v>88</v>
      </c>
      <c r="E224" s="21" t="s">
        <v>28</v>
      </c>
      <c r="F224" s="21" t="s">
        <v>387</v>
      </c>
      <c r="G224" s="26" t="str">
        <f>IFERROR(INDEX(Profesores!$B$2:$B$12,MATCH($F224,Profesores!$A$2:$A$12,0))&amp;" "&amp;INDEX(Profesores!$C$2:$C$12,MATCH($F224,Profesores!$A$2:$A$12,0)),"")</f>
        <v>Sánchez Pablo</v>
      </c>
      <c r="H224" s="21">
        <v>6</v>
      </c>
      <c r="I224" s="21">
        <v>10</v>
      </c>
      <c r="J224" s="21">
        <v>5</v>
      </c>
      <c r="K224" s="27">
        <f t="shared" si="6"/>
        <v>7</v>
      </c>
      <c r="L224" s="26" t="str">
        <f t="shared" si="7"/>
        <v>Aprobado</v>
      </c>
      <c r="M224" s="22" t="s">
        <v>426</v>
      </c>
    </row>
    <row r="225" spans="1:13" x14ac:dyDescent="0.2">
      <c r="A225" s="21" t="s">
        <v>302</v>
      </c>
      <c r="B225" s="26" t="str">
        <f>IFERROR(INDEX(Alumnos!$B$2:$B$31,MATCH($A225,Alumnos!$A$2:$A$31,0))&amp;", "&amp;INDEX(Alumnos!$C$2:$C$31,MATCH($A225,Alumnos!$A$2:$A$31,0)),"")</f>
        <v>Sánchez, Renata</v>
      </c>
      <c r="C225" s="21">
        <v>3</v>
      </c>
      <c r="D225" s="21" t="s">
        <v>88</v>
      </c>
      <c r="E225" s="21" t="s">
        <v>28</v>
      </c>
      <c r="F225" s="21" t="s">
        <v>387</v>
      </c>
      <c r="G225" s="26" t="str">
        <f>IFERROR(INDEX(Profesores!$B$2:$B$12,MATCH($F225,Profesores!$A$2:$A$12,0))&amp;" "&amp;INDEX(Profesores!$C$2:$C$12,MATCH($F225,Profesores!$A$2:$A$12,0)),"")</f>
        <v>Sánchez Pablo</v>
      </c>
      <c r="H225" s="21">
        <v>4</v>
      </c>
      <c r="I225" s="21">
        <v>6</v>
      </c>
      <c r="J225" s="21">
        <v>10</v>
      </c>
      <c r="K225" s="27">
        <f t="shared" si="6"/>
        <v>6.666666666666667</v>
      </c>
      <c r="L225" s="26" t="str">
        <f t="shared" si="7"/>
        <v>Aprobado</v>
      </c>
      <c r="M225" s="22"/>
    </row>
    <row r="226" spans="1:13" x14ac:dyDescent="0.2">
      <c r="A226" s="21" t="s">
        <v>309</v>
      </c>
      <c r="B226" s="26" t="str">
        <f>IFERROR(INDEX(Alumnos!$B$2:$B$31,MATCH($A226,Alumnos!$A$2:$A$31,0))&amp;", "&amp;INDEX(Alumnos!$C$2:$C$31,MATCH($A226,Alumnos!$A$2:$A$31,0)),"")</f>
        <v>Martínez, Benjamín</v>
      </c>
      <c r="C226" s="21">
        <v>3</v>
      </c>
      <c r="D226" s="21" t="s">
        <v>88</v>
      </c>
      <c r="E226" s="21" t="s">
        <v>28</v>
      </c>
      <c r="F226" s="21" t="s">
        <v>387</v>
      </c>
      <c r="G226" s="26" t="str">
        <f>IFERROR(INDEX(Profesores!$B$2:$B$12,MATCH($F226,Profesores!$A$2:$A$12,0))&amp;" "&amp;INDEX(Profesores!$C$2:$C$12,MATCH($F226,Profesores!$A$2:$A$12,0)),"")</f>
        <v>Sánchez Pablo</v>
      </c>
      <c r="H226" s="21">
        <v>5</v>
      </c>
      <c r="I226" s="21">
        <v>8</v>
      </c>
      <c r="J226" s="21">
        <v>6</v>
      </c>
      <c r="K226" s="27">
        <f t="shared" si="6"/>
        <v>6.333333333333333</v>
      </c>
      <c r="L226" s="26" t="str">
        <f t="shared" si="7"/>
        <v>Aprobado</v>
      </c>
      <c r="M226" s="22"/>
    </row>
    <row r="227" spans="1:13" x14ac:dyDescent="0.2">
      <c r="A227" s="21" t="s">
        <v>317</v>
      </c>
      <c r="B227" s="26" t="str">
        <f>IFERROR(INDEX(Alumnos!$B$2:$B$31,MATCH($A227,Alumnos!$A$2:$A$31,0))&amp;", "&amp;INDEX(Alumnos!$C$2:$C$31,MATCH($A227,Alumnos!$A$2:$A$31,0)),"")</f>
        <v>Medina, María</v>
      </c>
      <c r="C227" s="21">
        <v>3</v>
      </c>
      <c r="D227" s="21" t="s">
        <v>88</v>
      </c>
      <c r="E227" s="21" t="s">
        <v>28</v>
      </c>
      <c r="F227" s="21" t="s">
        <v>387</v>
      </c>
      <c r="G227" s="26" t="str">
        <f>IFERROR(INDEX(Profesores!$B$2:$B$12,MATCH($F227,Profesores!$A$2:$A$12,0))&amp;" "&amp;INDEX(Profesores!$C$2:$C$12,MATCH($F227,Profesores!$A$2:$A$12,0)),"")</f>
        <v>Sánchez Pablo</v>
      </c>
      <c r="H227" s="21">
        <v>4</v>
      </c>
      <c r="I227" s="21">
        <v>9</v>
      </c>
      <c r="J227" s="21">
        <v>10</v>
      </c>
      <c r="K227" s="27">
        <f t="shared" si="6"/>
        <v>7.666666666666667</v>
      </c>
      <c r="L227" s="26" t="str">
        <f t="shared" si="7"/>
        <v>Aprobado</v>
      </c>
      <c r="M227" s="22"/>
    </row>
    <row r="228" spans="1:13" x14ac:dyDescent="0.2">
      <c r="A228" s="21" t="s">
        <v>325</v>
      </c>
      <c r="B228" s="26" t="str">
        <f>IFERROR(INDEX(Alumnos!$B$2:$B$31,MATCH($A228,Alumnos!$A$2:$A$31,0))&amp;", "&amp;INDEX(Alumnos!$C$2:$C$31,MATCH($A228,Alumnos!$A$2:$A$31,0)),"")</f>
        <v>Molina, Facundo</v>
      </c>
      <c r="C228" s="21">
        <v>3</v>
      </c>
      <c r="D228" s="21" t="s">
        <v>88</v>
      </c>
      <c r="E228" s="21" t="s">
        <v>28</v>
      </c>
      <c r="F228" s="21" t="s">
        <v>387</v>
      </c>
      <c r="G228" s="26" t="str">
        <f>IFERROR(INDEX(Profesores!$B$2:$B$12,MATCH($F228,Profesores!$A$2:$A$12,0))&amp;" "&amp;INDEX(Profesores!$C$2:$C$12,MATCH($F228,Profesores!$A$2:$A$12,0)),"")</f>
        <v>Sánchez Pablo</v>
      </c>
      <c r="H228" s="21">
        <v>5</v>
      </c>
      <c r="I228" s="21">
        <v>4</v>
      </c>
      <c r="J228" s="21">
        <v>6</v>
      </c>
      <c r="K228" s="27">
        <f t="shared" si="6"/>
        <v>5</v>
      </c>
      <c r="L228" s="26" t="str">
        <f t="shared" si="7"/>
        <v>Desaprobado</v>
      </c>
      <c r="M228" s="22" t="s">
        <v>425</v>
      </c>
    </row>
    <row r="229" spans="1:13" x14ac:dyDescent="0.2">
      <c r="A229" s="21" t="s">
        <v>332</v>
      </c>
      <c r="B229" s="26" t="str">
        <f>IFERROR(INDEX(Alumnos!$B$2:$B$31,MATCH($A229,Alumnos!$A$2:$A$31,0))&amp;", "&amp;INDEX(Alumnos!$C$2:$C$31,MATCH($A229,Alumnos!$A$2:$A$31,0)),"")</f>
        <v>Álvarez, Pilar</v>
      </c>
      <c r="C229" s="21">
        <v>3</v>
      </c>
      <c r="D229" s="21" t="s">
        <v>88</v>
      </c>
      <c r="E229" s="21" t="s">
        <v>28</v>
      </c>
      <c r="F229" s="21" t="s">
        <v>387</v>
      </c>
      <c r="G229" s="26" t="str">
        <f>IFERROR(INDEX(Profesores!$B$2:$B$12,MATCH($F229,Profesores!$A$2:$A$12,0))&amp;" "&amp;INDEX(Profesores!$C$2:$C$12,MATCH($F229,Profesores!$A$2:$A$12,0)),"")</f>
        <v>Sánchez Pablo</v>
      </c>
      <c r="H229" s="21">
        <v>8</v>
      </c>
      <c r="I229" s="21">
        <v>6</v>
      </c>
      <c r="J229" s="21">
        <v>4</v>
      </c>
      <c r="K229" s="27">
        <f t="shared" si="6"/>
        <v>6</v>
      </c>
      <c r="L229" s="26" t="str">
        <f t="shared" si="7"/>
        <v>Aprobado</v>
      </c>
      <c r="M229" s="22"/>
    </row>
    <row r="230" spans="1:13" x14ac:dyDescent="0.2">
      <c r="A230" s="21" t="s">
        <v>339</v>
      </c>
      <c r="B230" s="26" t="str">
        <f>IFERROR(INDEX(Alumnos!$B$2:$B$31,MATCH($A230,Alumnos!$A$2:$A$31,0))&amp;", "&amp;INDEX(Alumnos!$C$2:$C$31,MATCH($A230,Alumnos!$A$2:$A$31,0)),"")</f>
        <v>Suárez, Pilar</v>
      </c>
      <c r="C230" s="21">
        <v>3</v>
      </c>
      <c r="D230" s="21" t="s">
        <v>88</v>
      </c>
      <c r="E230" s="21" t="s">
        <v>28</v>
      </c>
      <c r="F230" s="21" t="s">
        <v>387</v>
      </c>
      <c r="G230" s="26" t="str">
        <f>IFERROR(INDEX(Profesores!$B$2:$B$12,MATCH($F230,Profesores!$A$2:$A$12,0))&amp;" "&amp;INDEX(Profesores!$C$2:$C$12,MATCH($F230,Profesores!$A$2:$A$12,0)),"")</f>
        <v>Sánchez Pablo</v>
      </c>
      <c r="H230" s="21">
        <v>6</v>
      </c>
      <c r="I230" s="21">
        <v>4</v>
      </c>
      <c r="J230" s="21">
        <v>5</v>
      </c>
      <c r="K230" s="27">
        <f t="shared" si="6"/>
        <v>5</v>
      </c>
      <c r="L230" s="26" t="str">
        <f t="shared" si="7"/>
        <v>Desaprobado</v>
      </c>
      <c r="M230" s="22" t="s">
        <v>421</v>
      </c>
    </row>
    <row r="231" spans="1:13" x14ac:dyDescent="0.2">
      <c r="A231" s="21" t="s">
        <v>347</v>
      </c>
      <c r="B231" s="26" t="str">
        <f>IFERROR(INDEX(Alumnos!$B$2:$B$31,MATCH($A231,Alumnos!$A$2:$A$31,0))&amp;", "&amp;INDEX(Alumnos!$C$2:$C$31,MATCH($A231,Alumnos!$A$2:$A$31,0)),"")</f>
        <v>Sánchez, Facundo</v>
      </c>
      <c r="C231" s="21">
        <v>3</v>
      </c>
      <c r="D231" s="21" t="s">
        <v>88</v>
      </c>
      <c r="E231" s="21" t="s">
        <v>28</v>
      </c>
      <c r="F231" s="21" t="s">
        <v>387</v>
      </c>
      <c r="G231" s="26" t="str">
        <f>IFERROR(INDEX(Profesores!$B$2:$B$12,MATCH($F231,Profesores!$A$2:$A$12,0))&amp;" "&amp;INDEX(Profesores!$C$2:$C$12,MATCH($F231,Profesores!$A$2:$A$12,0)),"")</f>
        <v>Sánchez Pablo</v>
      </c>
      <c r="H231" s="21">
        <v>8</v>
      </c>
      <c r="I231" s="21">
        <v>4</v>
      </c>
      <c r="J231" s="21">
        <v>9</v>
      </c>
      <c r="K231" s="27">
        <f t="shared" si="6"/>
        <v>7</v>
      </c>
      <c r="L231" s="26" t="str">
        <f t="shared" si="7"/>
        <v>Aprobado</v>
      </c>
      <c r="M231" s="22"/>
    </row>
    <row r="232" spans="1:13" x14ac:dyDescent="0.2">
      <c r="A232" s="21" t="s">
        <v>280</v>
      </c>
      <c r="B232" s="26" t="str">
        <f>IFERROR(INDEX(Alumnos!$B$2:$B$31,MATCH($A232,Alumnos!$A$2:$A$31,0))&amp;", "&amp;INDEX(Alumnos!$C$2:$C$31,MATCH($A232,Alumnos!$A$2:$A$31,0)),"")</f>
        <v>Molina, Milagros</v>
      </c>
      <c r="C232" s="21">
        <v>3</v>
      </c>
      <c r="D232" s="21" t="s">
        <v>88</v>
      </c>
      <c r="E232" s="21" t="s">
        <v>37</v>
      </c>
      <c r="F232" s="21" t="s">
        <v>406</v>
      </c>
      <c r="G232" s="26" t="str">
        <f>IFERROR(INDEX(Profesores!$B$2:$B$12,MATCH($F232,Profesores!$A$2:$A$12,0))&amp;" "&amp;INDEX(Profesores!$C$2:$C$12,MATCH($F232,Profesores!$A$2:$A$12,0)),"")</f>
        <v>Acosta Sebastián</v>
      </c>
      <c r="H232" s="21">
        <v>7</v>
      </c>
      <c r="I232" s="21">
        <v>7</v>
      </c>
      <c r="J232" s="21">
        <v>10</v>
      </c>
      <c r="K232" s="27">
        <f t="shared" si="6"/>
        <v>8</v>
      </c>
      <c r="L232" s="26" t="str">
        <f t="shared" si="7"/>
        <v>Aprobado</v>
      </c>
      <c r="M232" s="22" t="s">
        <v>420</v>
      </c>
    </row>
    <row r="233" spans="1:13" x14ac:dyDescent="0.2">
      <c r="A233" s="21" t="s">
        <v>287</v>
      </c>
      <c r="B233" s="26" t="str">
        <f>IFERROR(INDEX(Alumnos!$B$2:$B$31,MATCH($A233,Alumnos!$A$2:$A$31,0))&amp;", "&amp;INDEX(Alumnos!$C$2:$C$31,MATCH($A233,Alumnos!$A$2:$A$31,0)),"")</f>
        <v>Rodríguez, Renata</v>
      </c>
      <c r="C233" s="21">
        <v>3</v>
      </c>
      <c r="D233" s="21" t="s">
        <v>88</v>
      </c>
      <c r="E233" s="21" t="s">
        <v>37</v>
      </c>
      <c r="F233" s="21" t="s">
        <v>406</v>
      </c>
      <c r="G233" s="26" t="str">
        <f>IFERROR(INDEX(Profesores!$B$2:$B$12,MATCH($F233,Profesores!$A$2:$A$12,0))&amp;" "&amp;INDEX(Profesores!$C$2:$C$12,MATCH($F233,Profesores!$A$2:$A$12,0)),"")</f>
        <v>Acosta Sebastián</v>
      </c>
      <c r="H233" s="21">
        <v>8</v>
      </c>
      <c r="I233" s="21">
        <v>8</v>
      </c>
      <c r="J233" s="21">
        <v>4</v>
      </c>
      <c r="K233" s="27">
        <f t="shared" si="6"/>
        <v>6.666666666666667</v>
      </c>
      <c r="L233" s="26" t="str">
        <f t="shared" si="7"/>
        <v>Aprobado</v>
      </c>
      <c r="M233" s="22" t="s">
        <v>424</v>
      </c>
    </row>
    <row r="234" spans="1:13" x14ac:dyDescent="0.2">
      <c r="A234" s="21" t="s">
        <v>294</v>
      </c>
      <c r="B234" s="26" t="str">
        <f>IFERROR(INDEX(Alumnos!$B$2:$B$31,MATCH($A234,Alumnos!$A$2:$A$31,0))&amp;", "&amp;INDEX(Alumnos!$C$2:$C$31,MATCH($A234,Alumnos!$A$2:$A$31,0)),"")</f>
        <v>Peralta, Franco</v>
      </c>
      <c r="C234" s="21">
        <v>3</v>
      </c>
      <c r="D234" s="21" t="s">
        <v>88</v>
      </c>
      <c r="E234" s="21" t="s">
        <v>37</v>
      </c>
      <c r="F234" s="21" t="s">
        <v>406</v>
      </c>
      <c r="G234" s="26" t="str">
        <f>IFERROR(INDEX(Profesores!$B$2:$B$12,MATCH($F234,Profesores!$A$2:$A$12,0))&amp;" "&amp;INDEX(Profesores!$C$2:$C$12,MATCH($F234,Profesores!$A$2:$A$12,0)),"")</f>
        <v>Acosta Sebastián</v>
      </c>
      <c r="H234" s="21">
        <v>8</v>
      </c>
      <c r="I234" s="21">
        <v>5</v>
      </c>
      <c r="J234" s="21">
        <v>8</v>
      </c>
      <c r="K234" s="27">
        <f t="shared" si="6"/>
        <v>7</v>
      </c>
      <c r="L234" s="26" t="str">
        <f t="shared" si="7"/>
        <v>Aprobado</v>
      </c>
      <c r="M234" s="22"/>
    </row>
    <row r="235" spans="1:13" x14ac:dyDescent="0.2">
      <c r="A235" s="21" t="s">
        <v>302</v>
      </c>
      <c r="B235" s="26" t="str">
        <f>IFERROR(INDEX(Alumnos!$B$2:$B$31,MATCH($A235,Alumnos!$A$2:$A$31,0))&amp;", "&amp;INDEX(Alumnos!$C$2:$C$31,MATCH($A235,Alumnos!$A$2:$A$31,0)),"")</f>
        <v>Sánchez, Renata</v>
      </c>
      <c r="C235" s="21">
        <v>3</v>
      </c>
      <c r="D235" s="21" t="s">
        <v>88</v>
      </c>
      <c r="E235" s="21" t="s">
        <v>37</v>
      </c>
      <c r="F235" s="21" t="s">
        <v>406</v>
      </c>
      <c r="G235" s="26" t="str">
        <f>IFERROR(INDEX(Profesores!$B$2:$B$12,MATCH($F235,Profesores!$A$2:$A$12,0))&amp;" "&amp;INDEX(Profesores!$C$2:$C$12,MATCH($F235,Profesores!$A$2:$A$12,0)),"")</f>
        <v>Acosta Sebastián</v>
      </c>
      <c r="H235" s="21">
        <v>9</v>
      </c>
      <c r="I235" s="21">
        <v>10</v>
      </c>
      <c r="J235" s="21">
        <v>10</v>
      </c>
      <c r="K235" s="27">
        <f t="shared" si="6"/>
        <v>9.6666666666666661</v>
      </c>
      <c r="L235" s="26" t="str">
        <f t="shared" si="7"/>
        <v>Aprobado</v>
      </c>
      <c r="M235" s="22" t="s">
        <v>423</v>
      </c>
    </row>
    <row r="236" spans="1:13" x14ac:dyDescent="0.2">
      <c r="A236" s="21" t="s">
        <v>309</v>
      </c>
      <c r="B236" s="26" t="str">
        <f>IFERROR(INDEX(Alumnos!$B$2:$B$31,MATCH($A236,Alumnos!$A$2:$A$31,0))&amp;", "&amp;INDEX(Alumnos!$C$2:$C$31,MATCH($A236,Alumnos!$A$2:$A$31,0)),"")</f>
        <v>Martínez, Benjamín</v>
      </c>
      <c r="C236" s="21">
        <v>3</v>
      </c>
      <c r="D236" s="21" t="s">
        <v>88</v>
      </c>
      <c r="E236" s="21" t="s">
        <v>37</v>
      </c>
      <c r="F236" s="21" t="s">
        <v>406</v>
      </c>
      <c r="G236" s="26" t="str">
        <f>IFERROR(INDEX(Profesores!$B$2:$B$12,MATCH($F236,Profesores!$A$2:$A$12,0))&amp;" "&amp;INDEX(Profesores!$C$2:$C$12,MATCH($F236,Profesores!$A$2:$A$12,0)),"")</f>
        <v>Acosta Sebastián</v>
      </c>
      <c r="H236" s="21">
        <v>6</v>
      </c>
      <c r="I236" s="21">
        <v>7</v>
      </c>
      <c r="J236" s="21">
        <v>9</v>
      </c>
      <c r="K236" s="27">
        <f t="shared" si="6"/>
        <v>7.333333333333333</v>
      </c>
      <c r="L236" s="26" t="str">
        <f t="shared" si="7"/>
        <v>Aprobado</v>
      </c>
      <c r="M236" s="22"/>
    </row>
    <row r="237" spans="1:13" x14ac:dyDescent="0.2">
      <c r="A237" s="21" t="s">
        <v>317</v>
      </c>
      <c r="B237" s="26" t="str">
        <f>IFERROR(INDEX(Alumnos!$B$2:$B$31,MATCH($A237,Alumnos!$A$2:$A$31,0))&amp;", "&amp;INDEX(Alumnos!$C$2:$C$31,MATCH($A237,Alumnos!$A$2:$A$31,0)),"")</f>
        <v>Medina, María</v>
      </c>
      <c r="C237" s="21">
        <v>3</v>
      </c>
      <c r="D237" s="21" t="s">
        <v>88</v>
      </c>
      <c r="E237" s="21" t="s">
        <v>37</v>
      </c>
      <c r="F237" s="21" t="s">
        <v>406</v>
      </c>
      <c r="G237" s="26" t="str">
        <f>IFERROR(INDEX(Profesores!$B$2:$B$12,MATCH($F237,Profesores!$A$2:$A$12,0))&amp;" "&amp;INDEX(Profesores!$C$2:$C$12,MATCH($F237,Profesores!$A$2:$A$12,0)),"")</f>
        <v>Acosta Sebastián</v>
      </c>
      <c r="H237" s="21">
        <v>4</v>
      </c>
      <c r="I237" s="21">
        <v>7</v>
      </c>
      <c r="J237" s="21">
        <v>10</v>
      </c>
      <c r="K237" s="27">
        <f t="shared" si="6"/>
        <v>7</v>
      </c>
      <c r="L237" s="26" t="str">
        <f t="shared" si="7"/>
        <v>Aprobado</v>
      </c>
      <c r="M237" s="22" t="s">
        <v>421</v>
      </c>
    </row>
    <row r="238" spans="1:13" x14ac:dyDescent="0.2">
      <c r="A238" s="21" t="s">
        <v>325</v>
      </c>
      <c r="B238" s="26" t="str">
        <f>IFERROR(INDEX(Alumnos!$B$2:$B$31,MATCH($A238,Alumnos!$A$2:$A$31,0))&amp;", "&amp;INDEX(Alumnos!$C$2:$C$31,MATCH($A238,Alumnos!$A$2:$A$31,0)),"")</f>
        <v>Molina, Facundo</v>
      </c>
      <c r="C238" s="21">
        <v>3</v>
      </c>
      <c r="D238" s="21" t="s">
        <v>88</v>
      </c>
      <c r="E238" s="21" t="s">
        <v>37</v>
      </c>
      <c r="F238" s="21" t="s">
        <v>406</v>
      </c>
      <c r="G238" s="26" t="str">
        <f>IFERROR(INDEX(Profesores!$B$2:$B$12,MATCH($F238,Profesores!$A$2:$A$12,0))&amp;" "&amp;INDEX(Profesores!$C$2:$C$12,MATCH($F238,Profesores!$A$2:$A$12,0)),"")</f>
        <v>Acosta Sebastián</v>
      </c>
      <c r="H238" s="21">
        <v>7</v>
      </c>
      <c r="I238" s="21">
        <v>9</v>
      </c>
      <c r="J238" s="21">
        <v>4</v>
      </c>
      <c r="K238" s="27">
        <f t="shared" si="6"/>
        <v>6.666666666666667</v>
      </c>
      <c r="L238" s="26" t="str">
        <f t="shared" si="7"/>
        <v>Aprobado</v>
      </c>
      <c r="M238" s="22" t="s">
        <v>424</v>
      </c>
    </row>
    <row r="239" spans="1:13" x14ac:dyDescent="0.2">
      <c r="A239" s="21" t="s">
        <v>332</v>
      </c>
      <c r="B239" s="26" t="str">
        <f>IFERROR(INDEX(Alumnos!$B$2:$B$31,MATCH($A239,Alumnos!$A$2:$A$31,0))&amp;", "&amp;INDEX(Alumnos!$C$2:$C$31,MATCH($A239,Alumnos!$A$2:$A$31,0)),"")</f>
        <v>Álvarez, Pilar</v>
      </c>
      <c r="C239" s="21">
        <v>3</v>
      </c>
      <c r="D239" s="21" t="s">
        <v>88</v>
      </c>
      <c r="E239" s="21" t="s">
        <v>37</v>
      </c>
      <c r="F239" s="21" t="s">
        <v>406</v>
      </c>
      <c r="G239" s="26" t="str">
        <f>IFERROR(INDEX(Profesores!$B$2:$B$12,MATCH($F239,Profesores!$A$2:$A$12,0))&amp;" "&amp;INDEX(Profesores!$C$2:$C$12,MATCH($F239,Profesores!$A$2:$A$12,0)),"")</f>
        <v>Acosta Sebastián</v>
      </c>
      <c r="H239" s="21">
        <v>9</v>
      </c>
      <c r="I239" s="21">
        <v>7</v>
      </c>
      <c r="J239" s="21">
        <v>4</v>
      </c>
      <c r="K239" s="27">
        <f t="shared" si="6"/>
        <v>6.666666666666667</v>
      </c>
      <c r="L239" s="26" t="str">
        <f t="shared" si="7"/>
        <v>Aprobado</v>
      </c>
      <c r="M239" s="22"/>
    </row>
    <row r="240" spans="1:13" x14ac:dyDescent="0.2">
      <c r="A240" s="21" t="s">
        <v>339</v>
      </c>
      <c r="B240" s="26" t="str">
        <f>IFERROR(INDEX(Alumnos!$B$2:$B$31,MATCH($A240,Alumnos!$A$2:$A$31,0))&amp;", "&amp;INDEX(Alumnos!$C$2:$C$31,MATCH($A240,Alumnos!$A$2:$A$31,0)),"")</f>
        <v>Suárez, Pilar</v>
      </c>
      <c r="C240" s="21">
        <v>3</v>
      </c>
      <c r="D240" s="21" t="s">
        <v>88</v>
      </c>
      <c r="E240" s="21" t="s">
        <v>37</v>
      </c>
      <c r="F240" s="21" t="s">
        <v>406</v>
      </c>
      <c r="G240" s="26" t="str">
        <f>IFERROR(INDEX(Profesores!$B$2:$B$12,MATCH($F240,Profesores!$A$2:$A$12,0))&amp;" "&amp;INDEX(Profesores!$C$2:$C$12,MATCH($F240,Profesores!$A$2:$A$12,0)),"")</f>
        <v>Acosta Sebastián</v>
      </c>
      <c r="H240" s="21">
        <v>6</v>
      </c>
      <c r="I240" s="21">
        <v>8</v>
      </c>
      <c r="J240" s="21">
        <v>5</v>
      </c>
      <c r="K240" s="27">
        <f t="shared" si="6"/>
        <v>6.333333333333333</v>
      </c>
      <c r="L240" s="26" t="str">
        <f t="shared" si="7"/>
        <v>Aprobado</v>
      </c>
      <c r="M240" s="22"/>
    </row>
    <row r="241" spans="1:13" x14ac:dyDescent="0.2">
      <c r="A241" s="21" t="s">
        <v>347</v>
      </c>
      <c r="B241" s="26" t="str">
        <f>IFERROR(INDEX(Alumnos!$B$2:$B$31,MATCH($A241,Alumnos!$A$2:$A$31,0))&amp;", "&amp;INDEX(Alumnos!$C$2:$C$31,MATCH($A241,Alumnos!$A$2:$A$31,0)),"")</f>
        <v>Sánchez, Facundo</v>
      </c>
      <c r="C241" s="21">
        <v>3</v>
      </c>
      <c r="D241" s="21" t="s">
        <v>88</v>
      </c>
      <c r="E241" s="21" t="s">
        <v>37</v>
      </c>
      <c r="F241" s="21" t="s">
        <v>406</v>
      </c>
      <c r="G241" s="26" t="str">
        <f>IFERROR(INDEX(Profesores!$B$2:$B$12,MATCH($F241,Profesores!$A$2:$A$12,0))&amp;" "&amp;INDEX(Profesores!$C$2:$C$12,MATCH($F241,Profesores!$A$2:$A$12,0)),"")</f>
        <v>Acosta Sebastián</v>
      </c>
      <c r="H241" s="21">
        <v>5</v>
      </c>
      <c r="I241" s="21">
        <v>6</v>
      </c>
      <c r="J241" s="21">
        <v>8</v>
      </c>
      <c r="K241" s="27">
        <f t="shared" si="6"/>
        <v>6.333333333333333</v>
      </c>
      <c r="L241" s="26" t="str">
        <f t="shared" si="7"/>
        <v>Aprobado</v>
      </c>
      <c r="M241" s="22" t="s">
        <v>426</v>
      </c>
    </row>
  </sheetData>
  <conditionalFormatting sqref="L2:L241">
    <cfRule type="cellIs" dxfId="74" priority="2" operator="equal">
      <formula>"Desaprobado"</formula>
    </cfRule>
    <cfRule type="cellIs" dxfId="73" priority="3" operator="equal">
      <formula>"Aprobado"</formula>
    </cfRule>
  </conditionalFormatting>
  <dataValidations count="1">
    <dataValidation type="whole" allowBlank="1" errorTitle="Nota inválida" error="La nota debe ser un número entero entre 1 y 10." sqref="H2:J541" xr:uid="{00000000-0002-0000-0500-000000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1"/>
  <sheetViews>
    <sheetView showGridLines="0" zoomScaleNormal="100" workbookViewId="0">
      <pane ySplit="1" topLeftCell="A2" activePane="bottomLeft" state="frozen"/>
      <selection pane="bottomLeft" activeCell="D52" sqref="D52"/>
    </sheetView>
  </sheetViews>
  <sheetFormatPr baseColWidth="10" defaultColWidth="23.85546875" defaultRowHeight="12.75" x14ac:dyDescent="0.2"/>
  <cols>
    <col min="1" max="7" width="23.85546875" style="20"/>
    <col min="8" max="8" width="34.5703125" style="20" customWidth="1"/>
    <col min="9" max="16384" width="23.85546875" style="20"/>
  </cols>
  <sheetData>
    <row r="1" spans="1:8" x14ac:dyDescent="0.2">
      <c r="A1" s="19" t="s">
        <v>427</v>
      </c>
      <c r="B1" s="19" t="s">
        <v>66</v>
      </c>
      <c r="C1" s="19" t="s">
        <v>67</v>
      </c>
      <c r="D1" s="19" t="s">
        <v>9</v>
      </c>
      <c r="E1" s="19" t="s">
        <v>61</v>
      </c>
      <c r="F1" s="19" t="s">
        <v>413</v>
      </c>
      <c r="G1" s="19" t="s">
        <v>22</v>
      </c>
      <c r="H1" s="19" t="s">
        <v>428</v>
      </c>
    </row>
    <row r="2" spans="1:8" x14ac:dyDescent="0.2">
      <c r="A2" s="21" t="s">
        <v>429</v>
      </c>
      <c r="B2" s="21">
        <v>1</v>
      </c>
      <c r="C2" s="21" t="s">
        <v>88</v>
      </c>
      <c r="D2" s="21" t="s">
        <v>14</v>
      </c>
      <c r="E2" s="21" t="s">
        <v>84</v>
      </c>
      <c r="F2" s="26" t="str">
        <f>IFERROR(INDEX(Alumnos!$B$2:$B$31,MATCH($E2,Alumnos!$A$2:$A$31,0))&amp;", "&amp;INDEX(Alumnos!$C$2:$C$31,MATCH($E2,Alumnos!$A$2:$A$31,0)),"")</f>
        <v>Ortiz, María</v>
      </c>
      <c r="G2" s="21" t="s">
        <v>27</v>
      </c>
      <c r="H2" s="22"/>
    </row>
    <row r="3" spans="1:8" x14ac:dyDescent="0.2">
      <c r="A3" s="21" t="s">
        <v>429</v>
      </c>
      <c r="B3" s="21">
        <v>1</v>
      </c>
      <c r="C3" s="21" t="s">
        <v>88</v>
      </c>
      <c r="D3" s="21" t="s">
        <v>14</v>
      </c>
      <c r="E3" s="21" t="s">
        <v>98</v>
      </c>
      <c r="F3" s="26" t="str">
        <f>IFERROR(INDEX(Alumnos!$B$2:$B$31,MATCH($E3,Alumnos!$A$2:$A$31,0))&amp;", "&amp;INDEX(Alumnos!$C$2:$C$31,MATCH($E3,Alumnos!$A$2:$A$31,0)),"")</f>
        <v>Herrera, Delfina</v>
      </c>
      <c r="G3" s="21" t="s">
        <v>17</v>
      </c>
      <c r="H3" s="22" t="s">
        <v>430</v>
      </c>
    </row>
    <row r="4" spans="1:8" x14ac:dyDescent="0.2">
      <c r="A4" s="21" t="s">
        <v>429</v>
      </c>
      <c r="B4" s="21">
        <v>1</v>
      </c>
      <c r="C4" s="21" t="s">
        <v>88</v>
      </c>
      <c r="D4" s="21" t="s">
        <v>14</v>
      </c>
      <c r="E4" s="21" t="s">
        <v>109</v>
      </c>
      <c r="F4" s="26" t="str">
        <f>IFERROR(INDEX(Alumnos!$B$2:$B$31,MATCH($E4,Alumnos!$A$2:$A$31,0))&amp;", "&amp;INDEX(Alumnos!$C$2:$C$31,MATCH($E4,Alumnos!$A$2:$A$31,0)),"")</f>
        <v>Vega, Joaquín</v>
      </c>
      <c r="G4" s="21" t="s">
        <v>25</v>
      </c>
      <c r="H4" s="22"/>
    </row>
    <row r="5" spans="1:8" x14ac:dyDescent="0.2">
      <c r="A5" s="21" t="s">
        <v>429</v>
      </c>
      <c r="B5" s="21">
        <v>1</v>
      </c>
      <c r="C5" s="21" t="s">
        <v>88</v>
      </c>
      <c r="D5" s="21" t="s">
        <v>14</v>
      </c>
      <c r="E5" s="21" t="s">
        <v>121</v>
      </c>
      <c r="F5" s="26" t="str">
        <f>IFERROR(INDEX(Alumnos!$B$2:$B$31,MATCH($E5,Alumnos!$A$2:$A$31,0))&amp;", "&amp;INDEX(Alumnos!$C$2:$C$31,MATCH($E5,Alumnos!$A$2:$A$31,0)),"")</f>
        <v>Silva, Tomás</v>
      </c>
      <c r="G5" s="21" t="s">
        <v>30</v>
      </c>
      <c r="H5" s="22" t="s">
        <v>431</v>
      </c>
    </row>
    <row r="6" spans="1:8" x14ac:dyDescent="0.2">
      <c r="A6" s="21" t="s">
        <v>429</v>
      </c>
      <c r="B6" s="21">
        <v>1</v>
      </c>
      <c r="C6" s="21" t="s">
        <v>88</v>
      </c>
      <c r="D6" s="21" t="s">
        <v>14</v>
      </c>
      <c r="E6" s="21" t="s">
        <v>134</v>
      </c>
      <c r="F6" s="26" t="str">
        <f>IFERROR(INDEX(Alumnos!$B$2:$B$31,MATCH($E6,Alumnos!$A$2:$A$31,0))&amp;", "&amp;INDEX(Alumnos!$C$2:$C$31,MATCH($E6,Alumnos!$A$2:$A$31,0)),"")</f>
        <v>Sánchez, Franco</v>
      </c>
      <c r="G6" s="21" t="s">
        <v>17</v>
      </c>
      <c r="H6" s="22" t="s">
        <v>430</v>
      </c>
    </row>
    <row r="7" spans="1:8" x14ac:dyDescent="0.2">
      <c r="A7" s="21" t="s">
        <v>429</v>
      </c>
      <c r="B7" s="21">
        <v>1</v>
      </c>
      <c r="C7" s="21" t="s">
        <v>88</v>
      </c>
      <c r="D7" s="21" t="s">
        <v>14</v>
      </c>
      <c r="E7" s="21" t="s">
        <v>144</v>
      </c>
      <c r="F7" s="26" t="str">
        <f>IFERROR(INDEX(Alumnos!$B$2:$B$31,MATCH($E7,Alumnos!$A$2:$A$31,0))&amp;", "&amp;INDEX(Alumnos!$C$2:$C$31,MATCH($E7,Alumnos!$A$2:$A$31,0)),"")</f>
        <v>Luna, Iván</v>
      </c>
      <c r="G7" s="21" t="s">
        <v>25</v>
      </c>
      <c r="H7" s="22"/>
    </row>
    <row r="8" spans="1:8" x14ac:dyDescent="0.2">
      <c r="A8" s="21" t="s">
        <v>429</v>
      </c>
      <c r="B8" s="21">
        <v>1</v>
      </c>
      <c r="C8" s="21" t="s">
        <v>88</v>
      </c>
      <c r="D8" s="21" t="s">
        <v>14</v>
      </c>
      <c r="E8" s="21" t="s">
        <v>156</v>
      </c>
      <c r="F8" s="26" t="str">
        <f>IFERROR(INDEX(Alumnos!$B$2:$B$31,MATCH($E8,Alumnos!$A$2:$A$31,0))&amp;", "&amp;INDEX(Alumnos!$C$2:$C$31,MATCH($E8,Alumnos!$A$2:$A$31,0)),"")</f>
        <v>Medina, Valentina</v>
      </c>
      <c r="G8" s="21" t="s">
        <v>25</v>
      </c>
      <c r="H8" s="22"/>
    </row>
    <row r="9" spans="1:8" x14ac:dyDescent="0.2">
      <c r="A9" s="21" t="s">
        <v>429</v>
      </c>
      <c r="B9" s="21">
        <v>1</v>
      </c>
      <c r="C9" s="21" t="s">
        <v>88</v>
      </c>
      <c r="D9" s="21" t="s">
        <v>14</v>
      </c>
      <c r="E9" s="21" t="s">
        <v>168</v>
      </c>
      <c r="F9" s="26" t="str">
        <f>IFERROR(INDEX(Alumnos!$B$2:$B$31,MATCH($E9,Alumnos!$A$2:$A$31,0))&amp;", "&amp;INDEX(Alumnos!$C$2:$C$31,MATCH($E9,Alumnos!$A$2:$A$31,0)),"")</f>
        <v>Rojas, María</v>
      </c>
      <c r="G9" s="21" t="s">
        <v>25</v>
      </c>
      <c r="H9" s="22"/>
    </row>
    <row r="10" spans="1:8" x14ac:dyDescent="0.2">
      <c r="A10" s="21" t="s">
        <v>429</v>
      </c>
      <c r="B10" s="21">
        <v>1</v>
      </c>
      <c r="C10" s="21" t="s">
        <v>88</v>
      </c>
      <c r="D10" s="21" t="s">
        <v>14</v>
      </c>
      <c r="E10" s="21" t="s">
        <v>178</v>
      </c>
      <c r="F10" s="26" t="str">
        <f>IFERROR(INDEX(Alumnos!$B$2:$B$31,MATCH($E10,Alumnos!$A$2:$A$31,0))&amp;", "&amp;INDEX(Alumnos!$C$2:$C$31,MATCH($E10,Alumnos!$A$2:$A$31,0)),"")</f>
        <v>Cabrera, Sofía</v>
      </c>
      <c r="G10" s="21" t="s">
        <v>17</v>
      </c>
      <c r="H10" s="22" t="s">
        <v>430</v>
      </c>
    </row>
    <row r="11" spans="1:8" x14ac:dyDescent="0.2">
      <c r="A11" s="21" t="s">
        <v>429</v>
      </c>
      <c r="B11" s="21">
        <v>1</v>
      </c>
      <c r="C11" s="21" t="s">
        <v>88</v>
      </c>
      <c r="D11" s="21" t="s">
        <v>14</v>
      </c>
      <c r="E11" s="21" t="s">
        <v>188</v>
      </c>
      <c r="F11" s="26" t="str">
        <f>IFERROR(INDEX(Alumnos!$B$2:$B$31,MATCH($E11,Alumnos!$A$2:$A$31,0))&amp;", "&amp;INDEX(Alumnos!$C$2:$C$31,MATCH($E11,Alumnos!$A$2:$A$31,0)),"")</f>
        <v>Núñez, Renata</v>
      </c>
      <c r="G11" s="21" t="s">
        <v>30</v>
      </c>
      <c r="H11" s="22" t="s">
        <v>431</v>
      </c>
    </row>
    <row r="12" spans="1:8" x14ac:dyDescent="0.2">
      <c r="A12" s="21" t="s">
        <v>429</v>
      </c>
      <c r="B12" s="21">
        <v>2</v>
      </c>
      <c r="C12" s="21" t="s">
        <v>88</v>
      </c>
      <c r="D12" s="21" t="s">
        <v>14</v>
      </c>
      <c r="E12" s="21" t="s">
        <v>197</v>
      </c>
      <c r="F12" s="26" t="str">
        <f>IFERROR(INDEX(Alumnos!$B$2:$B$31,MATCH($E12,Alumnos!$A$2:$A$31,0))&amp;", "&amp;INDEX(Alumnos!$C$2:$C$31,MATCH($E12,Alumnos!$A$2:$A$31,0)),"")</f>
        <v>Pérez, Emilia</v>
      </c>
      <c r="G12" s="21" t="s">
        <v>25</v>
      </c>
      <c r="H12" s="22"/>
    </row>
    <row r="13" spans="1:8" x14ac:dyDescent="0.2">
      <c r="A13" s="21" t="s">
        <v>429</v>
      </c>
      <c r="B13" s="21">
        <v>2</v>
      </c>
      <c r="C13" s="21" t="s">
        <v>88</v>
      </c>
      <c r="D13" s="21" t="s">
        <v>14</v>
      </c>
      <c r="E13" s="21" t="s">
        <v>204</v>
      </c>
      <c r="F13" s="26" t="str">
        <f>IFERROR(INDEX(Alumnos!$B$2:$B$31,MATCH($E13,Alumnos!$A$2:$A$31,0))&amp;", "&amp;INDEX(Alumnos!$C$2:$C$31,MATCH($E13,Alumnos!$A$2:$A$31,0)),"")</f>
        <v>Aguirre, Camila</v>
      </c>
      <c r="G13" s="21" t="s">
        <v>17</v>
      </c>
      <c r="H13" s="22" t="s">
        <v>430</v>
      </c>
    </row>
    <row r="14" spans="1:8" x14ac:dyDescent="0.2">
      <c r="A14" s="21" t="s">
        <v>429</v>
      </c>
      <c r="B14" s="21">
        <v>2</v>
      </c>
      <c r="C14" s="21" t="s">
        <v>88</v>
      </c>
      <c r="D14" s="21" t="s">
        <v>14</v>
      </c>
      <c r="E14" s="21" t="s">
        <v>212</v>
      </c>
      <c r="F14" s="26" t="str">
        <f>IFERROR(INDEX(Alumnos!$B$2:$B$31,MATCH($E14,Alumnos!$A$2:$A$31,0))&amp;", "&amp;INDEX(Alumnos!$C$2:$C$31,MATCH($E14,Alumnos!$A$2:$A$31,0)),"")</f>
        <v>Aguirre, Guadalupe</v>
      </c>
      <c r="G14" s="21" t="s">
        <v>27</v>
      </c>
      <c r="H14" s="22"/>
    </row>
    <row r="15" spans="1:8" x14ac:dyDescent="0.2">
      <c r="A15" s="21" t="s">
        <v>429</v>
      </c>
      <c r="B15" s="21">
        <v>2</v>
      </c>
      <c r="C15" s="21" t="s">
        <v>88</v>
      </c>
      <c r="D15" s="21" t="s">
        <v>14</v>
      </c>
      <c r="E15" s="21" t="s">
        <v>223</v>
      </c>
      <c r="F15" s="26" t="str">
        <f>IFERROR(INDEX(Alumnos!$B$2:$B$31,MATCH($E15,Alumnos!$A$2:$A$31,0))&amp;", "&amp;INDEX(Alumnos!$C$2:$C$31,MATCH($E15,Alumnos!$A$2:$A$31,0)),"")</f>
        <v>Acosta, Bruno</v>
      </c>
      <c r="G15" s="21" t="s">
        <v>30</v>
      </c>
      <c r="H15" s="22" t="s">
        <v>431</v>
      </c>
    </row>
    <row r="16" spans="1:8" x14ac:dyDescent="0.2">
      <c r="A16" s="21" t="s">
        <v>429</v>
      </c>
      <c r="B16" s="21">
        <v>2</v>
      </c>
      <c r="C16" s="21" t="s">
        <v>88</v>
      </c>
      <c r="D16" s="21" t="s">
        <v>14</v>
      </c>
      <c r="E16" s="21" t="s">
        <v>232</v>
      </c>
      <c r="F16" s="26" t="str">
        <f>IFERROR(INDEX(Alumnos!$B$2:$B$31,MATCH($E16,Alumnos!$A$2:$A$31,0))&amp;", "&amp;INDEX(Alumnos!$C$2:$C$31,MATCH($E16,Alumnos!$A$2:$A$31,0)),"")</f>
        <v>Flores, Valentina</v>
      </c>
      <c r="G16" s="21" t="s">
        <v>17</v>
      </c>
      <c r="H16" s="22" t="s">
        <v>430</v>
      </c>
    </row>
    <row r="17" spans="1:8" x14ac:dyDescent="0.2">
      <c r="A17" s="21" t="s">
        <v>429</v>
      </c>
      <c r="B17" s="21">
        <v>2</v>
      </c>
      <c r="C17" s="21" t="s">
        <v>88</v>
      </c>
      <c r="D17" s="21" t="s">
        <v>14</v>
      </c>
      <c r="E17" s="21" t="s">
        <v>239</v>
      </c>
      <c r="F17" s="26" t="str">
        <f>IFERROR(INDEX(Alumnos!$B$2:$B$31,MATCH($E17,Alumnos!$A$2:$A$31,0))&amp;", "&amp;INDEX(Alumnos!$C$2:$C$31,MATCH($E17,Alumnos!$A$2:$A$31,0)),"")</f>
        <v>Aguirre, Juan</v>
      </c>
      <c r="G17" s="21" t="s">
        <v>17</v>
      </c>
      <c r="H17" s="22" t="s">
        <v>430</v>
      </c>
    </row>
    <row r="18" spans="1:8" x14ac:dyDescent="0.2">
      <c r="A18" s="21" t="s">
        <v>429</v>
      </c>
      <c r="B18" s="21">
        <v>2</v>
      </c>
      <c r="C18" s="21" t="s">
        <v>88</v>
      </c>
      <c r="D18" s="21" t="s">
        <v>14</v>
      </c>
      <c r="E18" s="21" t="s">
        <v>247</v>
      </c>
      <c r="F18" s="26" t="str">
        <f>IFERROR(INDEX(Alumnos!$B$2:$B$31,MATCH($E18,Alumnos!$A$2:$A$31,0))&amp;", "&amp;INDEX(Alumnos!$C$2:$C$31,MATCH($E18,Alumnos!$A$2:$A$31,0)),"")</f>
        <v>Ruiz, Camila</v>
      </c>
      <c r="G18" s="21" t="s">
        <v>25</v>
      </c>
      <c r="H18" s="22"/>
    </row>
    <row r="19" spans="1:8" x14ac:dyDescent="0.2">
      <c r="A19" s="21" t="s">
        <v>429</v>
      </c>
      <c r="B19" s="21">
        <v>2</v>
      </c>
      <c r="C19" s="21" t="s">
        <v>88</v>
      </c>
      <c r="D19" s="21" t="s">
        <v>14</v>
      </c>
      <c r="E19" s="21" t="s">
        <v>255</v>
      </c>
      <c r="F19" s="26" t="str">
        <f>IFERROR(INDEX(Alumnos!$B$2:$B$31,MATCH($E19,Alumnos!$A$2:$A$31,0))&amp;", "&amp;INDEX(Alumnos!$C$2:$C$31,MATCH($E19,Alumnos!$A$2:$A$31,0)),"")</f>
        <v>Castro, Nicolás</v>
      </c>
      <c r="G19" s="21" t="s">
        <v>27</v>
      </c>
      <c r="H19" s="22"/>
    </row>
    <row r="20" spans="1:8" x14ac:dyDescent="0.2">
      <c r="A20" s="21" t="s">
        <v>429</v>
      </c>
      <c r="B20" s="21">
        <v>2</v>
      </c>
      <c r="C20" s="21" t="s">
        <v>88</v>
      </c>
      <c r="D20" s="21" t="s">
        <v>14</v>
      </c>
      <c r="E20" s="21" t="s">
        <v>263</v>
      </c>
      <c r="F20" s="26" t="str">
        <f>IFERROR(INDEX(Alumnos!$B$2:$B$31,MATCH($E20,Alumnos!$A$2:$A$31,0))&amp;", "&amp;INDEX(Alumnos!$C$2:$C$31,MATCH($E20,Alumnos!$A$2:$A$31,0)),"")</f>
        <v>Suárez, Julieta</v>
      </c>
      <c r="G20" s="21" t="s">
        <v>17</v>
      </c>
      <c r="H20" s="22" t="s">
        <v>430</v>
      </c>
    </row>
    <row r="21" spans="1:8" x14ac:dyDescent="0.2">
      <c r="A21" s="21" t="s">
        <v>429</v>
      </c>
      <c r="B21" s="21">
        <v>2</v>
      </c>
      <c r="C21" s="21" t="s">
        <v>88</v>
      </c>
      <c r="D21" s="21" t="s">
        <v>14</v>
      </c>
      <c r="E21" s="21" t="s">
        <v>271</v>
      </c>
      <c r="F21" s="26" t="str">
        <f>IFERROR(INDEX(Alumnos!$B$2:$B$31,MATCH($E21,Alumnos!$A$2:$A$31,0))&amp;", "&amp;INDEX(Alumnos!$C$2:$C$31,MATCH($E21,Alumnos!$A$2:$A$31,0)),"")</f>
        <v>Vega, Benjamín</v>
      </c>
      <c r="G21" s="21" t="s">
        <v>27</v>
      </c>
      <c r="H21" s="22"/>
    </row>
    <row r="22" spans="1:8" x14ac:dyDescent="0.2">
      <c r="A22" s="21" t="s">
        <v>429</v>
      </c>
      <c r="B22" s="21">
        <v>3</v>
      </c>
      <c r="C22" s="21" t="s">
        <v>88</v>
      </c>
      <c r="D22" s="21" t="s">
        <v>17</v>
      </c>
      <c r="E22" s="21" t="s">
        <v>280</v>
      </c>
      <c r="F22" s="26" t="str">
        <f>IFERROR(INDEX(Alumnos!$B$2:$B$31,MATCH($E22,Alumnos!$A$2:$A$31,0))&amp;", "&amp;INDEX(Alumnos!$C$2:$C$31,MATCH($E22,Alumnos!$A$2:$A$31,0)),"")</f>
        <v>Molina, Milagros</v>
      </c>
      <c r="G22" s="21" t="s">
        <v>25</v>
      </c>
      <c r="H22" s="22"/>
    </row>
    <row r="23" spans="1:8" x14ac:dyDescent="0.2">
      <c r="A23" s="21" t="s">
        <v>429</v>
      </c>
      <c r="B23" s="21">
        <v>3</v>
      </c>
      <c r="C23" s="21" t="s">
        <v>88</v>
      </c>
      <c r="D23" s="21" t="s">
        <v>17</v>
      </c>
      <c r="E23" s="21" t="s">
        <v>287</v>
      </c>
      <c r="F23" s="26" t="str">
        <f>IFERROR(INDEX(Alumnos!$B$2:$B$31,MATCH($E23,Alumnos!$A$2:$A$31,0))&amp;", "&amp;INDEX(Alumnos!$C$2:$C$31,MATCH($E23,Alumnos!$A$2:$A$31,0)),"")</f>
        <v>Rodríguez, Renata</v>
      </c>
      <c r="G23" s="21" t="s">
        <v>27</v>
      </c>
      <c r="H23" s="22"/>
    </row>
    <row r="24" spans="1:8" x14ac:dyDescent="0.2">
      <c r="A24" s="21" t="s">
        <v>429</v>
      </c>
      <c r="B24" s="21">
        <v>3</v>
      </c>
      <c r="C24" s="21" t="s">
        <v>88</v>
      </c>
      <c r="D24" s="21" t="s">
        <v>17</v>
      </c>
      <c r="E24" s="21" t="s">
        <v>294</v>
      </c>
      <c r="F24" s="26" t="str">
        <f>IFERROR(INDEX(Alumnos!$B$2:$B$31,MATCH($E24,Alumnos!$A$2:$A$31,0))&amp;", "&amp;INDEX(Alumnos!$C$2:$C$31,MATCH($E24,Alumnos!$A$2:$A$31,0)),"")</f>
        <v>Peralta, Franco</v>
      </c>
      <c r="G24" s="21" t="s">
        <v>25</v>
      </c>
      <c r="H24" s="22"/>
    </row>
    <row r="25" spans="1:8" x14ac:dyDescent="0.2">
      <c r="A25" s="21" t="s">
        <v>429</v>
      </c>
      <c r="B25" s="21">
        <v>3</v>
      </c>
      <c r="C25" s="21" t="s">
        <v>88</v>
      </c>
      <c r="D25" s="21" t="s">
        <v>17</v>
      </c>
      <c r="E25" s="21" t="s">
        <v>302</v>
      </c>
      <c r="F25" s="26" t="str">
        <f>IFERROR(INDEX(Alumnos!$B$2:$B$31,MATCH($E25,Alumnos!$A$2:$A$31,0))&amp;", "&amp;INDEX(Alumnos!$C$2:$C$31,MATCH($E25,Alumnos!$A$2:$A$31,0)),"")</f>
        <v>Sánchez, Renata</v>
      </c>
      <c r="G25" s="21" t="s">
        <v>30</v>
      </c>
      <c r="H25" s="22" t="s">
        <v>431</v>
      </c>
    </row>
    <row r="26" spans="1:8" x14ac:dyDescent="0.2">
      <c r="A26" s="21" t="s">
        <v>429</v>
      </c>
      <c r="B26" s="21">
        <v>3</v>
      </c>
      <c r="C26" s="21" t="s">
        <v>88</v>
      </c>
      <c r="D26" s="21" t="s">
        <v>17</v>
      </c>
      <c r="E26" s="21" t="s">
        <v>309</v>
      </c>
      <c r="F26" s="26" t="str">
        <f>IFERROR(INDEX(Alumnos!$B$2:$B$31,MATCH($E26,Alumnos!$A$2:$A$31,0))&amp;", "&amp;INDEX(Alumnos!$C$2:$C$31,MATCH($E26,Alumnos!$A$2:$A$31,0)),"")</f>
        <v>Martínez, Benjamín</v>
      </c>
      <c r="G26" s="21" t="s">
        <v>25</v>
      </c>
      <c r="H26" s="22"/>
    </row>
    <row r="27" spans="1:8" x14ac:dyDescent="0.2">
      <c r="A27" s="21" t="s">
        <v>429</v>
      </c>
      <c r="B27" s="21">
        <v>3</v>
      </c>
      <c r="C27" s="21" t="s">
        <v>88</v>
      </c>
      <c r="D27" s="21" t="s">
        <v>17</v>
      </c>
      <c r="E27" s="21" t="s">
        <v>317</v>
      </c>
      <c r="F27" s="26" t="str">
        <f>IFERROR(INDEX(Alumnos!$B$2:$B$31,MATCH($E27,Alumnos!$A$2:$A$31,0))&amp;", "&amp;INDEX(Alumnos!$C$2:$C$31,MATCH($E27,Alumnos!$A$2:$A$31,0)),"")</f>
        <v>Medina, María</v>
      </c>
      <c r="G27" s="21" t="s">
        <v>25</v>
      </c>
      <c r="H27" s="22"/>
    </row>
    <row r="28" spans="1:8" x14ac:dyDescent="0.2">
      <c r="A28" s="21" t="s">
        <v>429</v>
      </c>
      <c r="B28" s="21">
        <v>3</v>
      </c>
      <c r="C28" s="21" t="s">
        <v>88</v>
      </c>
      <c r="D28" s="21" t="s">
        <v>17</v>
      </c>
      <c r="E28" s="21" t="s">
        <v>325</v>
      </c>
      <c r="F28" s="26" t="str">
        <f>IFERROR(INDEX(Alumnos!$B$2:$B$31,MATCH($E28,Alumnos!$A$2:$A$31,0))&amp;", "&amp;INDEX(Alumnos!$C$2:$C$31,MATCH($E28,Alumnos!$A$2:$A$31,0)),"")</f>
        <v>Molina, Facundo</v>
      </c>
      <c r="G28" s="21" t="s">
        <v>25</v>
      </c>
      <c r="H28" s="22"/>
    </row>
    <row r="29" spans="1:8" x14ac:dyDescent="0.2">
      <c r="A29" s="21" t="s">
        <v>429</v>
      </c>
      <c r="B29" s="21">
        <v>3</v>
      </c>
      <c r="C29" s="21" t="s">
        <v>88</v>
      </c>
      <c r="D29" s="21" t="s">
        <v>17</v>
      </c>
      <c r="E29" s="21" t="s">
        <v>332</v>
      </c>
      <c r="F29" s="26" t="str">
        <f>IFERROR(INDEX(Alumnos!$B$2:$B$31,MATCH($E29,Alumnos!$A$2:$A$31,0))&amp;", "&amp;INDEX(Alumnos!$C$2:$C$31,MATCH($E29,Alumnos!$A$2:$A$31,0)),"")</f>
        <v>Álvarez, Pilar</v>
      </c>
      <c r="G29" s="21" t="s">
        <v>25</v>
      </c>
      <c r="H29" s="22"/>
    </row>
    <row r="30" spans="1:8" x14ac:dyDescent="0.2">
      <c r="A30" s="21" t="s">
        <v>429</v>
      </c>
      <c r="B30" s="21">
        <v>3</v>
      </c>
      <c r="C30" s="21" t="s">
        <v>88</v>
      </c>
      <c r="D30" s="21" t="s">
        <v>17</v>
      </c>
      <c r="E30" s="21" t="s">
        <v>339</v>
      </c>
      <c r="F30" s="26" t="str">
        <f>IFERROR(INDEX(Alumnos!$B$2:$B$31,MATCH($E30,Alumnos!$A$2:$A$31,0))&amp;", "&amp;INDEX(Alumnos!$C$2:$C$31,MATCH($E30,Alumnos!$A$2:$A$31,0)),"")</f>
        <v>Suárez, Pilar</v>
      </c>
      <c r="G30" s="21" t="s">
        <v>17</v>
      </c>
      <c r="H30" s="22" t="s">
        <v>430</v>
      </c>
    </row>
    <row r="31" spans="1:8" x14ac:dyDescent="0.2">
      <c r="A31" s="21" t="s">
        <v>429</v>
      </c>
      <c r="B31" s="21">
        <v>3</v>
      </c>
      <c r="C31" s="21" t="s">
        <v>88</v>
      </c>
      <c r="D31" s="21" t="s">
        <v>17</v>
      </c>
      <c r="E31" s="21" t="s">
        <v>347</v>
      </c>
      <c r="F31" s="26" t="str">
        <f>IFERROR(INDEX(Alumnos!$B$2:$B$31,MATCH($E31,Alumnos!$A$2:$A$31,0))&amp;", "&amp;INDEX(Alumnos!$C$2:$C$31,MATCH($E31,Alumnos!$A$2:$A$31,0)),"")</f>
        <v>Sánchez, Facundo</v>
      </c>
      <c r="G31" s="21" t="s">
        <v>25</v>
      </c>
      <c r="H31" s="22"/>
    </row>
    <row r="32" spans="1:8" x14ac:dyDescent="0.2">
      <c r="A32" s="21" t="s">
        <v>432</v>
      </c>
      <c r="B32" s="21">
        <v>1</v>
      </c>
      <c r="C32" s="21" t="s">
        <v>88</v>
      </c>
      <c r="D32" s="21" t="s">
        <v>14</v>
      </c>
      <c r="E32" s="21" t="s">
        <v>84</v>
      </c>
      <c r="F32" s="26" t="str">
        <f>IFERROR(INDEX(Alumnos!$B$2:$B$31,MATCH($E32,Alumnos!$A$2:$A$31,0))&amp;", "&amp;INDEX(Alumnos!$C$2:$C$31,MATCH($E32,Alumnos!$A$2:$A$31,0)),"")</f>
        <v>Ortiz, María</v>
      </c>
      <c r="G32" s="21" t="s">
        <v>27</v>
      </c>
      <c r="H32" s="22"/>
    </row>
    <row r="33" spans="1:8" x14ac:dyDescent="0.2">
      <c r="A33" s="21" t="s">
        <v>432</v>
      </c>
      <c r="B33" s="21">
        <v>1</v>
      </c>
      <c r="C33" s="21" t="s">
        <v>88</v>
      </c>
      <c r="D33" s="21" t="s">
        <v>14</v>
      </c>
      <c r="E33" s="21" t="s">
        <v>98</v>
      </c>
      <c r="F33" s="26" t="str">
        <f>IFERROR(INDEX(Alumnos!$B$2:$B$31,MATCH($E33,Alumnos!$A$2:$A$31,0))&amp;", "&amp;INDEX(Alumnos!$C$2:$C$31,MATCH($E33,Alumnos!$A$2:$A$31,0)),"")</f>
        <v>Herrera, Delfina</v>
      </c>
      <c r="G33" s="21" t="s">
        <v>25</v>
      </c>
      <c r="H33" s="22"/>
    </row>
    <row r="34" spans="1:8" x14ac:dyDescent="0.2">
      <c r="A34" s="21" t="s">
        <v>432</v>
      </c>
      <c r="B34" s="21">
        <v>1</v>
      </c>
      <c r="C34" s="21" t="s">
        <v>88</v>
      </c>
      <c r="D34" s="21" t="s">
        <v>14</v>
      </c>
      <c r="E34" s="21" t="s">
        <v>109</v>
      </c>
      <c r="F34" s="26" t="str">
        <f>IFERROR(INDEX(Alumnos!$B$2:$B$31,MATCH($E34,Alumnos!$A$2:$A$31,0))&amp;", "&amp;INDEX(Alumnos!$C$2:$C$31,MATCH($E34,Alumnos!$A$2:$A$31,0)),"")</f>
        <v>Vega, Joaquín</v>
      </c>
      <c r="G34" s="21" t="s">
        <v>25</v>
      </c>
      <c r="H34" s="22"/>
    </row>
    <row r="35" spans="1:8" x14ac:dyDescent="0.2">
      <c r="A35" s="21" t="s">
        <v>432</v>
      </c>
      <c r="B35" s="21">
        <v>1</v>
      </c>
      <c r="C35" s="21" t="s">
        <v>88</v>
      </c>
      <c r="D35" s="21" t="s">
        <v>14</v>
      </c>
      <c r="E35" s="21" t="s">
        <v>121</v>
      </c>
      <c r="F35" s="26" t="str">
        <f>IFERROR(INDEX(Alumnos!$B$2:$B$31,MATCH($E35,Alumnos!$A$2:$A$31,0))&amp;", "&amp;INDEX(Alumnos!$C$2:$C$31,MATCH($E35,Alumnos!$A$2:$A$31,0)),"")</f>
        <v>Silva, Tomás</v>
      </c>
      <c r="G35" s="21" t="s">
        <v>27</v>
      </c>
      <c r="H35" s="22"/>
    </row>
    <row r="36" spans="1:8" x14ac:dyDescent="0.2">
      <c r="A36" s="21" t="s">
        <v>432</v>
      </c>
      <c r="B36" s="21">
        <v>1</v>
      </c>
      <c r="C36" s="21" t="s">
        <v>88</v>
      </c>
      <c r="D36" s="21" t="s">
        <v>14</v>
      </c>
      <c r="E36" s="21" t="s">
        <v>134</v>
      </c>
      <c r="F36" s="26" t="str">
        <f>IFERROR(INDEX(Alumnos!$B$2:$B$31,MATCH($E36,Alumnos!$A$2:$A$31,0))&amp;", "&amp;INDEX(Alumnos!$C$2:$C$31,MATCH($E36,Alumnos!$A$2:$A$31,0)),"")</f>
        <v>Sánchez, Franco</v>
      </c>
      <c r="G36" s="21" t="s">
        <v>25</v>
      </c>
      <c r="H36" s="22"/>
    </row>
    <row r="37" spans="1:8" x14ac:dyDescent="0.2">
      <c r="A37" s="21" t="s">
        <v>432</v>
      </c>
      <c r="B37" s="21">
        <v>1</v>
      </c>
      <c r="C37" s="21" t="s">
        <v>88</v>
      </c>
      <c r="D37" s="21" t="s">
        <v>14</v>
      </c>
      <c r="E37" s="21" t="s">
        <v>144</v>
      </c>
      <c r="F37" s="26" t="str">
        <f>IFERROR(INDEX(Alumnos!$B$2:$B$31,MATCH($E37,Alumnos!$A$2:$A$31,0))&amp;", "&amp;INDEX(Alumnos!$C$2:$C$31,MATCH($E37,Alumnos!$A$2:$A$31,0)),"")</f>
        <v>Luna, Iván</v>
      </c>
      <c r="G37" s="21" t="s">
        <v>17</v>
      </c>
      <c r="H37" s="22" t="s">
        <v>430</v>
      </c>
    </row>
    <row r="38" spans="1:8" x14ac:dyDescent="0.2">
      <c r="A38" s="21" t="s">
        <v>432</v>
      </c>
      <c r="B38" s="21">
        <v>1</v>
      </c>
      <c r="C38" s="21" t="s">
        <v>88</v>
      </c>
      <c r="D38" s="21" t="s">
        <v>14</v>
      </c>
      <c r="E38" s="21" t="s">
        <v>156</v>
      </c>
      <c r="F38" s="26" t="str">
        <f>IFERROR(INDEX(Alumnos!$B$2:$B$31,MATCH($E38,Alumnos!$A$2:$A$31,0))&amp;", "&amp;INDEX(Alumnos!$C$2:$C$31,MATCH($E38,Alumnos!$A$2:$A$31,0)),"")</f>
        <v>Medina, Valentina</v>
      </c>
      <c r="G38" s="21" t="s">
        <v>27</v>
      </c>
      <c r="H38" s="22"/>
    </row>
    <row r="39" spans="1:8" x14ac:dyDescent="0.2">
      <c r="A39" s="21" t="s">
        <v>432</v>
      </c>
      <c r="B39" s="21">
        <v>1</v>
      </c>
      <c r="C39" s="21" t="s">
        <v>88</v>
      </c>
      <c r="D39" s="21" t="s">
        <v>14</v>
      </c>
      <c r="E39" s="21" t="s">
        <v>168</v>
      </c>
      <c r="F39" s="26" t="str">
        <f>IFERROR(INDEX(Alumnos!$B$2:$B$31,MATCH($E39,Alumnos!$A$2:$A$31,0))&amp;", "&amp;INDEX(Alumnos!$C$2:$C$31,MATCH($E39,Alumnos!$A$2:$A$31,0)),"")</f>
        <v>Rojas, María</v>
      </c>
      <c r="G39" s="21" t="s">
        <v>17</v>
      </c>
      <c r="H39" s="22" t="s">
        <v>430</v>
      </c>
    </row>
    <row r="40" spans="1:8" x14ac:dyDescent="0.2">
      <c r="A40" s="21" t="s">
        <v>432</v>
      </c>
      <c r="B40" s="21">
        <v>1</v>
      </c>
      <c r="C40" s="21" t="s">
        <v>88</v>
      </c>
      <c r="D40" s="21" t="s">
        <v>14</v>
      </c>
      <c r="E40" s="21" t="s">
        <v>178</v>
      </c>
      <c r="F40" s="26" t="str">
        <f>IFERROR(INDEX(Alumnos!$B$2:$B$31,MATCH($E40,Alumnos!$A$2:$A$31,0))&amp;", "&amp;INDEX(Alumnos!$C$2:$C$31,MATCH($E40,Alumnos!$A$2:$A$31,0)),"")</f>
        <v>Cabrera, Sofía</v>
      </c>
      <c r="G40" s="21" t="s">
        <v>25</v>
      </c>
      <c r="H40" s="22"/>
    </row>
    <row r="41" spans="1:8" x14ac:dyDescent="0.2">
      <c r="A41" s="21" t="s">
        <v>432</v>
      </c>
      <c r="B41" s="21">
        <v>1</v>
      </c>
      <c r="C41" s="21" t="s">
        <v>88</v>
      </c>
      <c r="D41" s="21" t="s">
        <v>14</v>
      </c>
      <c r="E41" s="21" t="s">
        <v>188</v>
      </c>
      <c r="F41" s="26" t="str">
        <f>IFERROR(INDEX(Alumnos!$B$2:$B$31,MATCH($E41,Alumnos!$A$2:$A$31,0))&amp;", "&amp;INDEX(Alumnos!$C$2:$C$31,MATCH($E41,Alumnos!$A$2:$A$31,0)),"")</f>
        <v>Núñez, Renata</v>
      </c>
      <c r="G41" s="21" t="s">
        <v>25</v>
      </c>
      <c r="H41" s="22"/>
    </row>
    <row r="42" spans="1:8" x14ac:dyDescent="0.2">
      <c r="A42" s="21" t="s">
        <v>432</v>
      </c>
      <c r="B42" s="21">
        <v>2</v>
      </c>
      <c r="C42" s="21" t="s">
        <v>88</v>
      </c>
      <c r="D42" s="21" t="s">
        <v>14</v>
      </c>
      <c r="E42" s="21" t="s">
        <v>197</v>
      </c>
      <c r="F42" s="26" t="str">
        <f>IFERROR(INDEX(Alumnos!$B$2:$B$31,MATCH($E42,Alumnos!$A$2:$A$31,0))&amp;", "&amp;INDEX(Alumnos!$C$2:$C$31,MATCH($E42,Alumnos!$A$2:$A$31,0)),"")</f>
        <v>Pérez, Emilia</v>
      </c>
      <c r="G42" s="21" t="s">
        <v>25</v>
      </c>
      <c r="H42" s="22"/>
    </row>
    <row r="43" spans="1:8" x14ac:dyDescent="0.2">
      <c r="A43" s="21" t="s">
        <v>432</v>
      </c>
      <c r="B43" s="21">
        <v>2</v>
      </c>
      <c r="C43" s="21" t="s">
        <v>88</v>
      </c>
      <c r="D43" s="21" t="s">
        <v>14</v>
      </c>
      <c r="E43" s="21" t="s">
        <v>204</v>
      </c>
      <c r="F43" s="26" t="str">
        <f>IFERROR(INDEX(Alumnos!$B$2:$B$31,MATCH($E43,Alumnos!$A$2:$A$31,0))&amp;", "&amp;INDEX(Alumnos!$C$2:$C$31,MATCH($E43,Alumnos!$A$2:$A$31,0)),"")</f>
        <v>Aguirre, Camila</v>
      </c>
      <c r="G43" s="21" t="s">
        <v>27</v>
      </c>
      <c r="H43" s="22"/>
    </row>
    <row r="44" spans="1:8" x14ac:dyDescent="0.2">
      <c r="A44" s="21" t="s">
        <v>432</v>
      </c>
      <c r="B44" s="21">
        <v>2</v>
      </c>
      <c r="C44" s="21" t="s">
        <v>88</v>
      </c>
      <c r="D44" s="21" t="s">
        <v>14</v>
      </c>
      <c r="E44" s="21" t="s">
        <v>212</v>
      </c>
      <c r="F44" s="26" t="str">
        <f>IFERROR(INDEX(Alumnos!$B$2:$B$31,MATCH($E44,Alumnos!$A$2:$A$31,0))&amp;", "&amp;INDEX(Alumnos!$C$2:$C$31,MATCH($E44,Alumnos!$A$2:$A$31,0)),"")</f>
        <v>Aguirre, Guadalupe</v>
      </c>
      <c r="G44" s="21" t="s">
        <v>25</v>
      </c>
      <c r="H44" s="22"/>
    </row>
    <row r="45" spans="1:8" x14ac:dyDescent="0.2">
      <c r="A45" s="21" t="s">
        <v>432</v>
      </c>
      <c r="B45" s="21">
        <v>2</v>
      </c>
      <c r="C45" s="21" t="s">
        <v>88</v>
      </c>
      <c r="D45" s="21" t="s">
        <v>14</v>
      </c>
      <c r="E45" s="21" t="s">
        <v>223</v>
      </c>
      <c r="F45" s="26" t="str">
        <f>IFERROR(INDEX(Alumnos!$B$2:$B$31,MATCH($E45,Alumnos!$A$2:$A$31,0))&amp;", "&amp;INDEX(Alumnos!$C$2:$C$31,MATCH($E45,Alumnos!$A$2:$A$31,0)),"")</f>
        <v>Acosta, Bruno</v>
      </c>
      <c r="G45" s="21" t="s">
        <v>25</v>
      </c>
      <c r="H45" s="22"/>
    </row>
    <row r="46" spans="1:8" x14ac:dyDescent="0.2">
      <c r="A46" s="21" t="s">
        <v>432</v>
      </c>
      <c r="B46" s="21">
        <v>2</v>
      </c>
      <c r="C46" s="21" t="s">
        <v>88</v>
      </c>
      <c r="D46" s="21" t="s">
        <v>14</v>
      </c>
      <c r="E46" s="21" t="s">
        <v>232</v>
      </c>
      <c r="F46" s="26" t="str">
        <f>IFERROR(INDEX(Alumnos!$B$2:$B$31,MATCH($E46,Alumnos!$A$2:$A$31,0))&amp;", "&amp;INDEX(Alumnos!$C$2:$C$31,MATCH($E46,Alumnos!$A$2:$A$31,0)),"")</f>
        <v>Flores, Valentina</v>
      </c>
      <c r="G46" s="21" t="s">
        <v>25</v>
      </c>
      <c r="H46" s="22"/>
    </row>
    <row r="47" spans="1:8" x14ac:dyDescent="0.2">
      <c r="A47" s="21" t="s">
        <v>432</v>
      </c>
      <c r="B47" s="21">
        <v>2</v>
      </c>
      <c r="C47" s="21" t="s">
        <v>88</v>
      </c>
      <c r="D47" s="21" t="s">
        <v>14</v>
      </c>
      <c r="E47" s="21" t="s">
        <v>239</v>
      </c>
      <c r="F47" s="26" t="str">
        <f>IFERROR(INDEX(Alumnos!$B$2:$B$31,MATCH($E47,Alumnos!$A$2:$A$31,0))&amp;", "&amp;INDEX(Alumnos!$C$2:$C$31,MATCH($E47,Alumnos!$A$2:$A$31,0)),"")</f>
        <v>Aguirre, Juan</v>
      </c>
      <c r="G47" s="21" t="s">
        <v>30</v>
      </c>
      <c r="H47" s="22" t="s">
        <v>431</v>
      </c>
    </row>
    <row r="48" spans="1:8" x14ac:dyDescent="0.2">
      <c r="A48" s="21" t="s">
        <v>432</v>
      </c>
      <c r="B48" s="21">
        <v>2</v>
      </c>
      <c r="C48" s="21" t="s">
        <v>88</v>
      </c>
      <c r="D48" s="21" t="s">
        <v>14</v>
      </c>
      <c r="E48" s="21" t="s">
        <v>247</v>
      </c>
      <c r="F48" s="26" t="str">
        <f>IFERROR(INDEX(Alumnos!$B$2:$B$31,MATCH($E48,Alumnos!$A$2:$A$31,0))&amp;", "&amp;INDEX(Alumnos!$C$2:$C$31,MATCH($E48,Alumnos!$A$2:$A$31,0)),"")</f>
        <v>Ruiz, Camila</v>
      </c>
      <c r="G48" s="21" t="s">
        <v>25</v>
      </c>
      <c r="H48" s="22"/>
    </row>
    <row r="49" spans="1:8" x14ac:dyDescent="0.2">
      <c r="A49" s="21" t="s">
        <v>432</v>
      </c>
      <c r="B49" s="21">
        <v>2</v>
      </c>
      <c r="C49" s="21" t="s">
        <v>88</v>
      </c>
      <c r="D49" s="21" t="s">
        <v>14</v>
      </c>
      <c r="E49" s="21" t="s">
        <v>255</v>
      </c>
      <c r="F49" s="26" t="str">
        <f>IFERROR(INDEX(Alumnos!$B$2:$B$31,MATCH($E49,Alumnos!$A$2:$A$31,0))&amp;", "&amp;INDEX(Alumnos!$C$2:$C$31,MATCH($E49,Alumnos!$A$2:$A$31,0)),"")</f>
        <v>Castro, Nicolás</v>
      </c>
      <c r="G49" s="21" t="s">
        <v>25</v>
      </c>
      <c r="H49" s="22"/>
    </row>
    <row r="50" spans="1:8" x14ac:dyDescent="0.2">
      <c r="A50" s="21" t="s">
        <v>432</v>
      </c>
      <c r="B50" s="21">
        <v>2</v>
      </c>
      <c r="C50" s="21" t="s">
        <v>88</v>
      </c>
      <c r="D50" s="21" t="s">
        <v>14</v>
      </c>
      <c r="E50" s="21" t="s">
        <v>263</v>
      </c>
      <c r="F50" s="26" t="str">
        <f>IFERROR(INDEX(Alumnos!$B$2:$B$31,MATCH($E50,Alumnos!$A$2:$A$31,0))&amp;", "&amp;INDEX(Alumnos!$C$2:$C$31,MATCH($E50,Alumnos!$A$2:$A$31,0)),"")</f>
        <v>Suárez, Julieta</v>
      </c>
      <c r="G50" s="21" t="s">
        <v>27</v>
      </c>
      <c r="H50" s="22"/>
    </row>
    <row r="51" spans="1:8" x14ac:dyDescent="0.2">
      <c r="A51" s="21" t="s">
        <v>432</v>
      </c>
      <c r="B51" s="21">
        <v>2</v>
      </c>
      <c r="C51" s="21" t="s">
        <v>88</v>
      </c>
      <c r="D51" s="21" t="s">
        <v>14</v>
      </c>
      <c r="E51" s="21" t="s">
        <v>271</v>
      </c>
      <c r="F51" s="26" t="str">
        <f>IFERROR(INDEX(Alumnos!$B$2:$B$31,MATCH($E51,Alumnos!$A$2:$A$31,0))&amp;", "&amp;INDEX(Alumnos!$C$2:$C$31,MATCH($E51,Alumnos!$A$2:$A$31,0)),"")</f>
        <v>Vega, Benjamín</v>
      </c>
      <c r="G51" s="21" t="s">
        <v>27</v>
      </c>
      <c r="H51" s="22"/>
    </row>
    <row r="52" spans="1:8" x14ac:dyDescent="0.2">
      <c r="A52" s="21" t="s">
        <v>432</v>
      </c>
      <c r="B52" s="21">
        <v>3</v>
      </c>
      <c r="C52" s="21" t="s">
        <v>88</v>
      </c>
      <c r="D52" s="21" t="s">
        <v>17</v>
      </c>
      <c r="E52" s="21" t="s">
        <v>280</v>
      </c>
      <c r="F52" s="26" t="str">
        <f>IFERROR(INDEX(Alumnos!$B$2:$B$31,MATCH($E52,Alumnos!$A$2:$A$31,0))&amp;", "&amp;INDEX(Alumnos!$C$2:$C$31,MATCH($E52,Alumnos!$A$2:$A$31,0)),"")</f>
        <v>Molina, Milagros</v>
      </c>
      <c r="G52" s="21" t="s">
        <v>25</v>
      </c>
      <c r="H52" s="22"/>
    </row>
    <row r="53" spans="1:8" x14ac:dyDescent="0.2">
      <c r="A53" s="21" t="s">
        <v>432</v>
      </c>
      <c r="B53" s="21">
        <v>3</v>
      </c>
      <c r="C53" s="21" t="s">
        <v>88</v>
      </c>
      <c r="D53" s="21" t="s">
        <v>17</v>
      </c>
      <c r="E53" s="21" t="s">
        <v>287</v>
      </c>
      <c r="F53" s="26" t="str">
        <f>IFERROR(INDEX(Alumnos!$B$2:$B$31,MATCH($E53,Alumnos!$A$2:$A$31,0))&amp;", "&amp;INDEX(Alumnos!$C$2:$C$31,MATCH($E53,Alumnos!$A$2:$A$31,0)),"")</f>
        <v>Rodríguez, Renata</v>
      </c>
      <c r="G53" s="21" t="s">
        <v>25</v>
      </c>
      <c r="H53" s="22"/>
    </row>
    <row r="54" spans="1:8" x14ac:dyDescent="0.2">
      <c r="A54" s="21" t="s">
        <v>432</v>
      </c>
      <c r="B54" s="21">
        <v>3</v>
      </c>
      <c r="C54" s="21" t="s">
        <v>88</v>
      </c>
      <c r="D54" s="21" t="s">
        <v>17</v>
      </c>
      <c r="E54" s="21" t="s">
        <v>294</v>
      </c>
      <c r="F54" s="26" t="str">
        <f>IFERROR(INDEX(Alumnos!$B$2:$B$31,MATCH($E54,Alumnos!$A$2:$A$31,0))&amp;", "&amp;INDEX(Alumnos!$C$2:$C$31,MATCH($E54,Alumnos!$A$2:$A$31,0)),"")</f>
        <v>Peralta, Franco</v>
      </c>
      <c r="G54" s="21" t="s">
        <v>25</v>
      </c>
      <c r="H54" s="22"/>
    </row>
    <row r="55" spans="1:8" x14ac:dyDescent="0.2">
      <c r="A55" s="21" t="s">
        <v>432</v>
      </c>
      <c r="B55" s="21">
        <v>3</v>
      </c>
      <c r="C55" s="21" t="s">
        <v>88</v>
      </c>
      <c r="D55" s="21" t="s">
        <v>17</v>
      </c>
      <c r="E55" s="21" t="s">
        <v>302</v>
      </c>
      <c r="F55" s="26" t="str">
        <f>IFERROR(INDEX(Alumnos!$B$2:$B$31,MATCH($E55,Alumnos!$A$2:$A$31,0))&amp;", "&amp;INDEX(Alumnos!$C$2:$C$31,MATCH($E55,Alumnos!$A$2:$A$31,0)),"")</f>
        <v>Sánchez, Renata</v>
      </c>
      <c r="G55" s="21" t="s">
        <v>17</v>
      </c>
      <c r="H55" s="22" t="s">
        <v>430</v>
      </c>
    </row>
    <row r="56" spans="1:8" x14ac:dyDescent="0.2">
      <c r="A56" s="21" t="s">
        <v>432</v>
      </c>
      <c r="B56" s="21">
        <v>3</v>
      </c>
      <c r="C56" s="21" t="s">
        <v>88</v>
      </c>
      <c r="D56" s="21" t="s">
        <v>17</v>
      </c>
      <c r="E56" s="21" t="s">
        <v>309</v>
      </c>
      <c r="F56" s="26" t="str">
        <f>IFERROR(INDEX(Alumnos!$B$2:$B$31,MATCH($E56,Alumnos!$A$2:$A$31,0))&amp;", "&amp;INDEX(Alumnos!$C$2:$C$31,MATCH($E56,Alumnos!$A$2:$A$31,0)),"")</f>
        <v>Martínez, Benjamín</v>
      </c>
      <c r="G56" s="21" t="s">
        <v>25</v>
      </c>
      <c r="H56" s="22"/>
    </row>
    <row r="57" spans="1:8" x14ac:dyDescent="0.2">
      <c r="A57" s="21" t="s">
        <v>432</v>
      </c>
      <c r="B57" s="21">
        <v>3</v>
      </c>
      <c r="C57" s="21" t="s">
        <v>88</v>
      </c>
      <c r="D57" s="21" t="s">
        <v>17</v>
      </c>
      <c r="E57" s="21" t="s">
        <v>317</v>
      </c>
      <c r="F57" s="26" t="str">
        <f>IFERROR(INDEX(Alumnos!$B$2:$B$31,MATCH($E57,Alumnos!$A$2:$A$31,0))&amp;", "&amp;INDEX(Alumnos!$C$2:$C$31,MATCH($E57,Alumnos!$A$2:$A$31,0)),"")</f>
        <v>Medina, María</v>
      </c>
      <c r="G57" s="21" t="s">
        <v>25</v>
      </c>
      <c r="H57" s="22"/>
    </row>
    <row r="58" spans="1:8" x14ac:dyDescent="0.2">
      <c r="A58" s="21" t="s">
        <v>432</v>
      </c>
      <c r="B58" s="21">
        <v>3</v>
      </c>
      <c r="C58" s="21" t="s">
        <v>88</v>
      </c>
      <c r="D58" s="21" t="s">
        <v>17</v>
      </c>
      <c r="E58" s="21" t="s">
        <v>325</v>
      </c>
      <c r="F58" s="26" t="str">
        <f>IFERROR(INDEX(Alumnos!$B$2:$B$31,MATCH($E58,Alumnos!$A$2:$A$31,0))&amp;", "&amp;INDEX(Alumnos!$C$2:$C$31,MATCH($E58,Alumnos!$A$2:$A$31,0)),"")</f>
        <v>Molina, Facundo</v>
      </c>
      <c r="G58" s="21" t="s">
        <v>25</v>
      </c>
      <c r="H58" s="22"/>
    </row>
    <row r="59" spans="1:8" x14ac:dyDescent="0.2">
      <c r="A59" s="21" t="s">
        <v>432</v>
      </c>
      <c r="B59" s="21">
        <v>3</v>
      </c>
      <c r="C59" s="21" t="s">
        <v>88</v>
      </c>
      <c r="D59" s="21" t="s">
        <v>17</v>
      </c>
      <c r="E59" s="21" t="s">
        <v>332</v>
      </c>
      <c r="F59" s="26" t="str">
        <f>IFERROR(INDEX(Alumnos!$B$2:$B$31,MATCH($E59,Alumnos!$A$2:$A$31,0))&amp;", "&amp;INDEX(Alumnos!$C$2:$C$31,MATCH($E59,Alumnos!$A$2:$A$31,0)),"")</f>
        <v>Álvarez, Pilar</v>
      </c>
      <c r="G59" s="21" t="s">
        <v>25</v>
      </c>
      <c r="H59" s="22"/>
    </row>
    <row r="60" spans="1:8" x14ac:dyDescent="0.2">
      <c r="A60" s="21" t="s">
        <v>432</v>
      </c>
      <c r="B60" s="21">
        <v>3</v>
      </c>
      <c r="C60" s="21" t="s">
        <v>88</v>
      </c>
      <c r="D60" s="21" t="s">
        <v>17</v>
      </c>
      <c r="E60" s="21" t="s">
        <v>339</v>
      </c>
      <c r="F60" s="26" t="str">
        <f>IFERROR(INDEX(Alumnos!$B$2:$B$31,MATCH($E60,Alumnos!$A$2:$A$31,0))&amp;", "&amp;INDEX(Alumnos!$C$2:$C$31,MATCH($E60,Alumnos!$A$2:$A$31,0)),"")</f>
        <v>Suárez, Pilar</v>
      </c>
      <c r="G60" s="21" t="s">
        <v>25</v>
      </c>
      <c r="H60" s="22"/>
    </row>
    <row r="61" spans="1:8" x14ac:dyDescent="0.2">
      <c r="A61" s="21" t="s">
        <v>432</v>
      </c>
      <c r="B61" s="21">
        <v>3</v>
      </c>
      <c r="C61" s="21" t="s">
        <v>88</v>
      </c>
      <c r="D61" s="21" t="s">
        <v>17</v>
      </c>
      <c r="E61" s="21" t="s">
        <v>347</v>
      </c>
      <c r="F61" s="26" t="str">
        <f>IFERROR(INDEX(Alumnos!$B$2:$B$31,MATCH($E61,Alumnos!$A$2:$A$31,0))&amp;", "&amp;INDEX(Alumnos!$C$2:$C$31,MATCH($E61,Alumnos!$A$2:$A$31,0)),"")</f>
        <v>Sánchez, Facundo</v>
      </c>
      <c r="G61" s="21" t="s">
        <v>25</v>
      </c>
      <c r="H61" s="22"/>
    </row>
    <row r="62" spans="1:8" x14ac:dyDescent="0.2">
      <c r="A62" s="21" t="s">
        <v>433</v>
      </c>
      <c r="B62" s="21">
        <v>1</v>
      </c>
      <c r="C62" s="21" t="s">
        <v>88</v>
      </c>
      <c r="D62" s="21" t="s">
        <v>14</v>
      </c>
      <c r="E62" s="21" t="s">
        <v>84</v>
      </c>
      <c r="F62" s="26" t="str">
        <f>IFERROR(INDEX(Alumnos!$B$2:$B$31,MATCH($E62,Alumnos!$A$2:$A$31,0))&amp;", "&amp;INDEX(Alumnos!$C$2:$C$31,MATCH($E62,Alumnos!$A$2:$A$31,0)),"")</f>
        <v>Ortiz, María</v>
      </c>
      <c r="G62" s="21" t="s">
        <v>27</v>
      </c>
      <c r="H62" s="22"/>
    </row>
    <row r="63" spans="1:8" x14ac:dyDescent="0.2">
      <c r="A63" s="21" t="s">
        <v>433</v>
      </c>
      <c r="B63" s="21">
        <v>1</v>
      </c>
      <c r="C63" s="21" t="s">
        <v>88</v>
      </c>
      <c r="D63" s="21" t="s">
        <v>14</v>
      </c>
      <c r="E63" s="21" t="s">
        <v>98</v>
      </c>
      <c r="F63" s="26" t="str">
        <f>IFERROR(INDEX(Alumnos!$B$2:$B$31,MATCH($E63,Alumnos!$A$2:$A$31,0))&amp;", "&amp;INDEX(Alumnos!$C$2:$C$31,MATCH($E63,Alumnos!$A$2:$A$31,0)),"")</f>
        <v>Herrera, Delfina</v>
      </c>
      <c r="G63" s="21" t="s">
        <v>27</v>
      </c>
      <c r="H63" s="22"/>
    </row>
    <row r="64" spans="1:8" x14ac:dyDescent="0.2">
      <c r="A64" s="21" t="s">
        <v>433</v>
      </c>
      <c r="B64" s="21">
        <v>1</v>
      </c>
      <c r="C64" s="21" t="s">
        <v>88</v>
      </c>
      <c r="D64" s="21" t="s">
        <v>14</v>
      </c>
      <c r="E64" s="21" t="s">
        <v>109</v>
      </c>
      <c r="F64" s="26" t="str">
        <f>IFERROR(INDEX(Alumnos!$B$2:$B$31,MATCH($E64,Alumnos!$A$2:$A$31,0))&amp;", "&amp;INDEX(Alumnos!$C$2:$C$31,MATCH($E64,Alumnos!$A$2:$A$31,0)),"")</f>
        <v>Vega, Joaquín</v>
      </c>
      <c r="G64" s="21" t="s">
        <v>25</v>
      </c>
      <c r="H64" s="22"/>
    </row>
    <row r="65" spans="1:8" x14ac:dyDescent="0.2">
      <c r="A65" s="21" t="s">
        <v>433</v>
      </c>
      <c r="B65" s="21">
        <v>1</v>
      </c>
      <c r="C65" s="21" t="s">
        <v>88</v>
      </c>
      <c r="D65" s="21" t="s">
        <v>14</v>
      </c>
      <c r="E65" s="21" t="s">
        <v>121</v>
      </c>
      <c r="F65" s="26" t="str">
        <f>IFERROR(INDEX(Alumnos!$B$2:$B$31,MATCH($E65,Alumnos!$A$2:$A$31,0))&amp;", "&amp;INDEX(Alumnos!$C$2:$C$31,MATCH($E65,Alumnos!$A$2:$A$31,0)),"")</f>
        <v>Silva, Tomás</v>
      </c>
      <c r="G65" s="21" t="s">
        <v>25</v>
      </c>
      <c r="H65" s="22"/>
    </row>
    <row r="66" spans="1:8" x14ac:dyDescent="0.2">
      <c r="A66" s="21" t="s">
        <v>433</v>
      </c>
      <c r="B66" s="21">
        <v>1</v>
      </c>
      <c r="C66" s="21" t="s">
        <v>88</v>
      </c>
      <c r="D66" s="21" t="s">
        <v>14</v>
      </c>
      <c r="E66" s="21" t="s">
        <v>134</v>
      </c>
      <c r="F66" s="26" t="str">
        <f>IFERROR(INDEX(Alumnos!$B$2:$B$31,MATCH($E66,Alumnos!$A$2:$A$31,0))&amp;", "&amp;INDEX(Alumnos!$C$2:$C$31,MATCH($E66,Alumnos!$A$2:$A$31,0)),"")</f>
        <v>Sánchez, Franco</v>
      </c>
      <c r="G66" s="21" t="s">
        <v>25</v>
      </c>
      <c r="H66" s="22"/>
    </row>
    <row r="67" spans="1:8" x14ac:dyDescent="0.2">
      <c r="A67" s="21" t="s">
        <v>433</v>
      </c>
      <c r="B67" s="21">
        <v>1</v>
      </c>
      <c r="C67" s="21" t="s">
        <v>88</v>
      </c>
      <c r="D67" s="21" t="s">
        <v>14</v>
      </c>
      <c r="E67" s="21" t="s">
        <v>144</v>
      </c>
      <c r="F67" s="26" t="str">
        <f>IFERROR(INDEX(Alumnos!$B$2:$B$31,MATCH($E67,Alumnos!$A$2:$A$31,0))&amp;", "&amp;INDEX(Alumnos!$C$2:$C$31,MATCH($E67,Alumnos!$A$2:$A$31,0)),"")</f>
        <v>Luna, Iván</v>
      </c>
      <c r="G67" s="21" t="s">
        <v>17</v>
      </c>
      <c r="H67" s="22" t="s">
        <v>430</v>
      </c>
    </row>
    <row r="68" spans="1:8" x14ac:dyDescent="0.2">
      <c r="A68" s="21" t="s">
        <v>433</v>
      </c>
      <c r="B68" s="21">
        <v>1</v>
      </c>
      <c r="C68" s="21" t="s">
        <v>88</v>
      </c>
      <c r="D68" s="21" t="s">
        <v>14</v>
      </c>
      <c r="E68" s="21" t="s">
        <v>156</v>
      </c>
      <c r="F68" s="26" t="str">
        <f>IFERROR(INDEX(Alumnos!$B$2:$B$31,MATCH($E68,Alumnos!$A$2:$A$31,0))&amp;", "&amp;INDEX(Alumnos!$C$2:$C$31,MATCH($E68,Alumnos!$A$2:$A$31,0)),"")</f>
        <v>Medina, Valentina</v>
      </c>
      <c r="G68" s="21" t="s">
        <v>25</v>
      </c>
      <c r="H68" s="22"/>
    </row>
    <row r="69" spans="1:8" x14ac:dyDescent="0.2">
      <c r="A69" s="21" t="s">
        <v>433</v>
      </c>
      <c r="B69" s="21">
        <v>1</v>
      </c>
      <c r="C69" s="21" t="s">
        <v>88</v>
      </c>
      <c r="D69" s="21" t="s">
        <v>14</v>
      </c>
      <c r="E69" s="21" t="s">
        <v>168</v>
      </c>
      <c r="F69" s="26" t="str">
        <f>IFERROR(INDEX(Alumnos!$B$2:$B$31,MATCH($E69,Alumnos!$A$2:$A$31,0))&amp;", "&amp;INDEX(Alumnos!$C$2:$C$31,MATCH($E69,Alumnos!$A$2:$A$31,0)),"")</f>
        <v>Rojas, María</v>
      </c>
      <c r="G69" s="21" t="s">
        <v>25</v>
      </c>
      <c r="H69" s="22"/>
    </row>
    <row r="70" spans="1:8" x14ac:dyDescent="0.2">
      <c r="A70" s="21" t="s">
        <v>433</v>
      </c>
      <c r="B70" s="21">
        <v>1</v>
      </c>
      <c r="C70" s="21" t="s">
        <v>88</v>
      </c>
      <c r="D70" s="21" t="s">
        <v>14</v>
      </c>
      <c r="E70" s="21" t="s">
        <v>178</v>
      </c>
      <c r="F70" s="26" t="str">
        <f>IFERROR(INDEX(Alumnos!$B$2:$B$31,MATCH($E70,Alumnos!$A$2:$A$31,0))&amp;", "&amp;INDEX(Alumnos!$C$2:$C$31,MATCH($E70,Alumnos!$A$2:$A$31,0)),"")</f>
        <v>Cabrera, Sofía</v>
      </c>
      <c r="G70" s="21" t="s">
        <v>25</v>
      </c>
      <c r="H70" s="22"/>
    </row>
    <row r="71" spans="1:8" x14ac:dyDescent="0.2">
      <c r="A71" s="21" t="s">
        <v>433</v>
      </c>
      <c r="B71" s="21">
        <v>1</v>
      </c>
      <c r="C71" s="21" t="s">
        <v>88</v>
      </c>
      <c r="D71" s="21" t="s">
        <v>14</v>
      </c>
      <c r="E71" s="21" t="s">
        <v>188</v>
      </c>
      <c r="F71" s="26" t="str">
        <f>IFERROR(INDEX(Alumnos!$B$2:$B$31,MATCH($E71,Alumnos!$A$2:$A$31,0))&amp;", "&amp;INDEX(Alumnos!$C$2:$C$31,MATCH($E71,Alumnos!$A$2:$A$31,0)),"")</f>
        <v>Núñez, Renata</v>
      </c>
      <c r="G71" s="21" t="s">
        <v>25</v>
      </c>
      <c r="H71" s="22"/>
    </row>
    <row r="72" spans="1:8" x14ac:dyDescent="0.2">
      <c r="A72" s="21" t="s">
        <v>433</v>
      </c>
      <c r="B72" s="21">
        <v>2</v>
      </c>
      <c r="C72" s="21" t="s">
        <v>88</v>
      </c>
      <c r="D72" s="21" t="s">
        <v>14</v>
      </c>
      <c r="E72" s="21" t="s">
        <v>197</v>
      </c>
      <c r="F72" s="26" t="str">
        <f>IFERROR(INDEX(Alumnos!$B$2:$B$31,MATCH($E72,Alumnos!$A$2:$A$31,0))&amp;", "&amp;INDEX(Alumnos!$C$2:$C$31,MATCH($E72,Alumnos!$A$2:$A$31,0)),"")</f>
        <v>Pérez, Emilia</v>
      </c>
      <c r="G72" s="21" t="s">
        <v>25</v>
      </c>
      <c r="H72" s="22"/>
    </row>
    <row r="73" spans="1:8" x14ac:dyDescent="0.2">
      <c r="A73" s="21" t="s">
        <v>433</v>
      </c>
      <c r="B73" s="21">
        <v>2</v>
      </c>
      <c r="C73" s="21" t="s">
        <v>88</v>
      </c>
      <c r="D73" s="21" t="s">
        <v>14</v>
      </c>
      <c r="E73" s="21" t="s">
        <v>204</v>
      </c>
      <c r="F73" s="26" t="str">
        <f>IFERROR(INDEX(Alumnos!$B$2:$B$31,MATCH($E73,Alumnos!$A$2:$A$31,0))&amp;", "&amp;INDEX(Alumnos!$C$2:$C$31,MATCH($E73,Alumnos!$A$2:$A$31,0)),"")</f>
        <v>Aguirre, Camila</v>
      </c>
      <c r="G73" s="21" t="s">
        <v>17</v>
      </c>
      <c r="H73" s="22" t="s">
        <v>430</v>
      </c>
    </row>
    <row r="74" spans="1:8" x14ac:dyDescent="0.2">
      <c r="A74" s="21" t="s">
        <v>433</v>
      </c>
      <c r="B74" s="21">
        <v>2</v>
      </c>
      <c r="C74" s="21" t="s">
        <v>88</v>
      </c>
      <c r="D74" s="21" t="s">
        <v>14</v>
      </c>
      <c r="E74" s="21" t="s">
        <v>212</v>
      </c>
      <c r="F74" s="26" t="str">
        <f>IFERROR(INDEX(Alumnos!$B$2:$B$31,MATCH($E74,Alumnos!$A$2:$A$31,0))&amp;", "&amp;INDEX(Alumnos!$C$2:$C$31,MATCH($E74,Alumnos!$A$2:$A$31,0)),"")</f>
        <v>Aguirre, Guadalupe</v>
      </c>
      <c r="G74" s="21" t="s">
        <v>17</v>
      </c>
      <c r="H74" s="22" t="s">
        <v>430</v>
      </c>
    </row>
    <row r="75" spans="1:8" x14ac:dyDescent="0.2">
      <c r="A75" s="21" t="s">
        <v>433</v>
      </c>
      <c r="B75" s="21">
        <v>2</v>
      </c>
      <c r="C75" s="21" t="s">
        <v>88</v>
      </c>
      <c r="D75" s="21" t="s">
        <v>14</v>
      </c>
      <c r="E75" s="21" t="s">
        <v>223</v>
      </c>
      <c r="F75" s="26" t="str">
        <f>IFERROR(INDEX(Alumnos!$B$2:$B$31,MATCH($E75,Alumnos!$A$2:$A$31,0))&amp;", "&amp;INDEX(Alumnos!$C$2:$C$31,MATCH($E75,Alumnos!$A$2:$A$31,0)),"")</f>
        <v>Acosta, Bruno</v>
      </c>
      <c r="G75" s="21" t="s">
        <v>30</v>
      </c>
      <c r="H75" s="22" t="s">
        <v>431</v>
      </c>
    </row>
    <row r="76" spans="1:8" x14ac:dyDescent="0.2">
      <c r="A76" s="21" t="s">
        <v>433</v>
      </c>
      <c r="B76" s="21">
        <v>2</v>
      </c>
      <c r="C76" s="21" t="s">
        <v>88</v>
      </c>
      <c r="D76" s="21" t="s">
        <v>14</v>
      </c>
      <c r="E76" s="21" t="s">
        <v>232</v>
      </c>
      <c r="F76" s="26" t="str">
        <f>IFERROR(INDEX(Alumnos!$B$2:$B$31,MATCH($E76,Alumnos!$A$2:$A$31,0))&amp;", "&amp;INDEX(Alumnos!$C$2:$C$31,MATCH($E76,Alumnos!$A$2:$A$31,0)),"")</f>
        <v>Flores, Valentina</v>
      </c>
      <c r="G76" s="21" t="s">
        <v>27</v>
      </c>
      <c r="H76" s="22"/>
    </row>
    <row r="77" spans="1:8" x14ac:dyDescent="0.2">
      <c r="A77" s="21" t="s">
        <v>433</v>
      </c>
      <c r="B77" s="21">
        <v>2</v>
      </c>
      <c r="C77" s="21" t="s">
        <v>88</v>
      </c>
      <c r="D77" s="21" t="s">
        <v>14</v>
      </c>
      <c r="E77" s="21" t="s">
        <v>239</v>
      </c>
      <c r="F77" s="26" t="str">
        <f>IFERROR(INDEX(Alumnos!$B$2:$B$31,MATCH($E77,Alumnos!$A$2:$A$31,0))&amp;", "&amp;INDEX(Alumnos!$C$2:$C$31,MATCH($E77,Alumnos!$A$2:$A$31,0)),"")</f>
        <v>Aguirre, Juan</v>
      </c>
      <c r="G77" s="21" t="s">
        <v>25</v>
      </c>
      <c r="H77" s="22"/>
    </row>
    <row r="78" spans="1:8" x14ac:dyDescent="0.2">
      <c r="A78" s="21" t="s">
        <v>433</v>
      </c>
      <c r="B78" s="21">
        <v>2</v>
      </c>
      <c r="C78" s="21" t="s">
        <v>88</v>
      </c>
      <c r="D78" s="21" t="s">
        <v>14</v>
      </c>
      <c r="E78" s="21" t="s">
        <v>247</v>
      </c>
      <c r="F78" s="26" t="str">
        <f>IFERROR(INDEX(Alumnos!$B$2:$B$31,MATCH($E78,Alumnos!$A$2:$A$31,0))&amp;", "&amp;INDEX(Alumnos!$C$2:$C$31,MATCH($E78,Alumnos!$A$2:$A$31,0)),"")</f>
        <v>Ruiz, Camila</v>
      </c>
      <c r="G78" s="21" t="s">
        <v>27</v>
      </c>
      <c r="H78" s="22"/>
    </row>
    <row r="79" spans="1:8" x14ac:dyDescent="0.2">
      <c r="A79" s="21" t="s">
        <v>433</v>
      </c>
      <c r="B79" s="21">
        <v>2</v>
      </c>
      <c r="C79" s="21" t="s">
        <v>88</v>
      </c>
      <c r="D79" s="21" t="s">
        <v>14</v>
      </c>
      <c r="E79" s="21" t="s">
        <v>255</v>
      </c>
      <c r="F79" s="26" t="str">
        <f>IFERROR(INDEX(Alumnos!$B$2:$B$31,MATCH($E79,Alumnos!$A$2:$A$31,0))&amp;", "&amp;INDEX(Alumnos!$C$2:$C$31,MATCH($E79,Alumnos!$A$2:$A$31,0)),"")</f>
        <v>Castro, Nicolás</v>
      </c>
      <c r="G79" s="21" t="s">
        <v>25</v>
      </c>
      <c r="H79" s="22"/>
    </row>
    <row r="80" spans="1:8" x14ac:dyDescent="0.2">
      <c r="A80" s="21" t="s">
        <v>433</v>
      </c>
      <c r="B80" s="21">
        <v>2</v>
      </c>
      <c r="C80" s="21" t="s">
        <v>88</v>
      </c>
      <c r="D80" s="21" t="s">
        <v>14</v>
      </c>
      <c r="E80" s="21" t="s">
        <v>263</v>
      </c>
      <c r="F80" s="26" t="str">
        <f>IFERROR(INDEX(Alumnos!$B$2:$B$31,MATCH($E80,Alumnos!$A$2:$A$31,0))&amp;", "&amp;INDEX(Alumnos!$C$2:$C$31,MATCH($E80,Alumnos!$A$2:$A$31,0)),"")</f>
        <v>Suárez, Julieta</v>
      </c>
      <c r="G80" s="21" t="s">
        <v>27</v>
      </c>
      <c r="H80" s="22"/>
    </row>
    <row r="81" spans="1:8" x14ac:dyDescent="0.2">
      <c r="A81" s="21" t="s">
        <v>433</v>
      </c>
      <c r="B81" s="21">
        <v>2</v>
      </c>
      <c r="C81" s="21" t="s">
        <v>88</v>
      </c>
      <c r="D81" s="21" t="s">
        <v>14</v>
      </c>
      <c r="E81" s="21" t="s">
        <v>271</v>
      </c>
      <c r="F81" s="26" t="str">
        <f>IFERROR(INDEX(Alumnos!$B$2:$B$31,MATCH($E81,Alumnos!$A$2:$A$31,0))&amp;", "&amp;INDEX(Alumnos!$C$2:$C$31,MATCH($E81,Alumnos!$A$2:$A$31,0)),"")</f>
        <v>Vega, Benjamín</v>
      </c>
      <c r="G81" s="21" t="s">
        <v>25</v>
      </c>
      <c r="H81" s="22"/>
    </row>
    <row r="82" spans="1:8" x14ac:dyDescent="0.2">
      <c r="A82" s="21" t="s">
        <v>433</v>
      </c>
      <c r="B82" s="21">
        <v>3</v>
      </c>
      <c r="C82" s="21" t="s">
        <v>88</v>
      </c>
      <c r="D82" s="21" t="s">
        <v>17</v>
      </c>
      <c r="E82" s="21" t="s">
        <v>280</v>
      </c>
      <c r="F82" s="26" t="str">
        <f>IFERROR(INDEX(Alumnos!$B$2:$B$31,MATCH($E82,Alumnos!$A$2:$A$31,0))&amp;", "&amp;INDEX(Alumnos!$C$2:$C$31,MATCH($E82,Alumnos!$A$2:$A$31,0)),"")</f>
        <v>Molina, Milagros</v>
      </c>
      <c r="G82" s="21" t="s">
        <v>25</v>
      </c>
      <c r="H82" s="22"/>
    </row>
    <row r="83" spans="1:8" x14ac:dyDescent="0.2">
      <c r="A83" s="21" t="s">
        <v>433</v>
      </c>
      <c r="B83" s="21">
        <v>3</v>
      </c>
      <c r="C83" s="21" t="s">
        <v>88</v>
      </c>
      <c r="D83" s="21" t="s">
        <v>17</v>
      </c>
      <c r="E83" s="21" t="s">
        <v>287</v>
      </c>
      <c r="F83" s="26" t="str">
        <f>IFERROR(INDEX(Alumnos!$B$2:$B$31,MATCH($E83,Alumnos!$A$2:$A$31,0))&amp;", "&amp;INDEX(Alumnos!$C$2:$C$31,MATCH($E83,Alumnos!$A$2:$A$31,0)),"")</f>
        <v>Rodríguez, Renata</v>
      </c>
      <c r="G83" s="21" t="s">
        <v>25</v>
      </c>
      <c r="H83" s="22"/>
    </row>
    <row r="84" spans="1:8" x14ac:dyDescent="0.2">
      <c r="A84" s="21" t="s">
        <v>433</v>
      </c>
      <c r="B84" s="21">
        <v>3</v>
      </c>
      <c r="C84" s="21" t="s">
        <v>88</v>
      </c>
      <c r="D84" s="21" t="s">
        <v>17</v>
      </c>
      <c r="E84" s="21" t="s">
        <v>294</v>
      </c>
      <c r="F84" s="26" t="str">
        <f>IFERROR(INDEX(Alumnos!$B$2:$B$31,MATCH($E84,Alumnos!$A$2:$A$31,0))&amp;", "&amp;INDEX(Alumnos!$C$2:$C$31,MATCH($E84,Alumnos!$A$2:$A$31,0)),"")</f>
        <v>Peralta, Franco</v>
      </c>
      <c r="G84" s="21" t="s">
        <v>25</v>
      </c>
      <c r="H84" s="22"/>
    </row>
    <row r="85" spans="1:8" x14ac:dyDescent="0.2">
      <c r="A85" s="21" t="s">
        <v>433</v>
      </c>
      <c r="B85" s="21">
        <v>3</v>
      </c>
      <c r="C85" s="21" t="s">
        <v>88</v>
      </c>
      <c r="D85" s="21" t="s">
        <v>17</v>
      </c>
      <c r="E85" s="21" t="s">
        <v>302</v>
      </c>
      <c r="F85" s="26" t="str">
        <f>IFERROR(INDEX(Alumnos!$B$2:$B$31,MATCH($E85,Alumnos!$A$2:$A$31,0))&amp;", "&amp;INDEX(Alumnos!$C$2:$C$31,MATCH($E85,Alumnos!$A$2:$A$31,0)),"")</f>
        <v>Sánchez, Renata</v>
      </c>
      <c r="G85" s="21" t="s">
        <v>25</v>
      </c>
      <c r="H85" s="22"/>
    </row>
    <row r="86" spans="1:8" x14ac:dyDescent="0.2">
      <c r="A86" s="21" t="s">
        <v>433</v>
      </c>
      <c r="B86" s="21">
        <v>3</v>
      </c>
      <c r="C86" s="21" t="s">
        <v>88</v>
      </c>
      <c r="D86" s="21" t="s">
        <v>17</v>
      </c>
      <c r="E86" s="21" t="s">
        <v>309</v>
      </c>
      <c r="F86" s="26" t="str">
        <f>IFERROR(INDEX(Alumnos!$B$2:$B$31,MATCH($E86,Alumnos!$A$2:$A$31,0))&amp;", "&amp;INDEX(Alumnos!$C$2:$C$31,MATCH($E86,Alumnos!$A$2:$A$31,0)),"")</f>
        <v>Martínez, Benjamín</v>
      </c>
      <c r="G86" s="21" t="s">
        <v>25</v>
      </c>
      <c r="H86" s="22"/>
    </row>
    <row r="87" spans="1:8" x14ac:dyDescent="0.2">
      <c r="A87" s="21" t="s">
        <v>433</v>
      </c>
      <c r="B87" s="21">
        <v>3</v>
      </c>
      <c r="C87" s="21" t="s">
        <v>88</v>
      </c>
      <c r="D87" s="21" t="s">
        <v>17</v>
      </c>
      <c r="E87" s="21" t="s">
        <v>317</v>
      </c>
      <c r="F87" s="26" t="str">
        <f>IFERROR(INDEX(Alumnos!$B$2:$B$31,MATCH($E87,Alumnos!$A$2:$A$31,0))&amp;", "&amp;INDEX(Alumnos!$C$2:$C$31,MATCH($E87,Alumnos!$A$2:$A$31,0)),"")</f>
        <v>Medina, María</v>
      </c>
      <c r="G87" s="21" t="s">
        <v>25</v>
      </c>
      <c r="H87" s="22"/>
    </row>
    <row r="88" spans="1:8" x14ac:dyDescent="0.2">
      <c r="A88" s="21" t="s">
        <v>433</v>
      </c>
      <c r="B88" s="21">
        <v>3</v>
      </c>
      <c r="C88" s="21" t="s">
        <v>88</v>
      </c>
      <c r="D88" s="21" t="s">
        <v>17</v>
      </c>
      <c r="E88" s="21" t="s">
        <v>325</v>
      </c>
      <c r="F88" s="26" t="str">
        <f>IFERROR(INDEX(Alumnos!$B$2:$B$31,MATCH($E88,Alumnos!$A$2:$A$31,0))&amp;", "&amp;INDEX(Alumnos!$C$2:$C$31,MATCH($E88,Alumnos!$A$2:$A$31,0)),"")</f>
        <v>Molina, Facundo</v>
      </c>
      <c r="G88" s="21" t="s">
        <v>30</v>
      </c>
      <c r="H88" s="22" t="s">
        <v>431</v>
      </c>
    </row>
    <row r="89" spans="1:8" x14ac:dyDescent="0.2">
      <c r="A89" s="21" t="s">
        <v>433</v>
      </c>
      <c r="B89" s="21">
        <v>3</v>
      </c>
      <c r="C89" s="21" t="s">
        <v>88</v>
      </c>
      <c r="D89" s="21" t="s">
        <v>17</v>
      </c>
      <c r="E89" s="21" t="s">
        <v>332</v>
      </c>
      <c r="F89" s="26" t="str">
        <f>IFERROR(INDEX(Alumnos!$B$2:$B$31,MATCH($E89,Alumnos!$A$2:$A$31,0))&amp;", "&amp;INDEX(Alumnos!$C$2:$C$31,MATCH($E89,Alumnos!$A$2:$A$31,0)),"")</f>
        <v>Álvarez, Pilar</v>
      </c>
      <c r="G89" s="21" t="s">
        <v>17</v>
      </c>
      <c r="H89" s="22" t="s">
        <v>430</v>
      </c>
    </row>
    <row r="90" spans="1:8" x14ac:dyDescent="0.2">
      <c r="A90" s="21" t="s">
        <v>433</v>
      </c>
      <c r="B90" s="21">
        <v>3</v>
      </c>
      <c r="C90" s="21" t="s">
        <v>88</v>
      </c>
      <c r="D90" s="21" t="s">
        <v>17</v>
      </c>
      <c r="E90" s="21" t="s">
        <v>339</v>
      </c>
      <c r="F90" s="26" t="str">
        <f>IFERROR(INDEX(Alumnos!$B$2:$B$31,MATCH($E90,Alumnos!$A$2:$A$31,0))&amp;", "&amp;INDEX(Alumnos!$C$2:$C$31,MATCH($E90,Alumnos!$A$2:$A$31,0)),"")</f>
        <v>Suárez, Pilar</v>
      </c>
      <c r="G90" s="21" t="s">
        <v>30</v>
      </c>
      <c r="H90" s="22" t="s">
        <v>431</v>
      </c>
    </row>
    <row r="91" spans="1:8" x14ac:dyDescent="0.2">
      <c r="A91" s="21" t="s">
        <v>433</v>
      </c>
      <c r="B91" s="21">
        <v>3</v>
      </c>
      <c r="C91" s="21" t="s">
        <v>88</v>
      </c>
      <c r="D91" s="21" t="s">
        <v>17</v>
      </c>
      <c r="E91" s="21" t="s">
        <v>347</v>
      </c>
      <c r="F91" s="26" t="str">
        <f>IFERROR(INDEX(Alumnos!$B$2:$B$31,MATCH($E91,Alumnos!$A$2:$A$31,0))&amp;", "&amp;INDEX(Alumnos!$C$2:$C$31,MATCH($E91,Alumnos!$A$2:$A$31,0)),"")</f>
        <v>Sánchez, Facundo</v>
      </c>
      <c r="G91" s="21" t="s">
        <v>30</v>
      </c>
      <c r="H91" s="22" t="s">
        <v>431</v>
      </c>
    </row>
    <row r="92" spans="1:8" x14ac:dyDescent="0.2">
      <c r="A92" s="21" t="s">
        <v>434</v>
      </c>
      <c r="B92" s="21">
        <v>1</v>
      </c>
      <c r="C92" s="21" t="s">
        <v>88</v>
      </c>
      <c r="D92" s="21" t="s">
        <v>14</v>
      </c>
      <c r="E92" s="21" t="s">
        <v>84</v>
      </c>
      <c r="F92" s="26" t="str">
        <f>IFERROR(INDEX(Alumnos!$B$2:$B$31,MATCH($E92,Alumnos!$A$2:$A$31,0))&amp;", "&amp;INDEX(Alumnos!$C$2:$C$31,MATCH($E92,Alumnos!$A$2:$A$31,0)),"")</f>
        <v>Ortiz, María</v>
      </c>
      <c r="G92" s="21" t="s">
        <v>17</v>
      </c>
      <c r="H92" s="22" t="s">
        <v>430</v>
      </c>
    </row>
    <row r="93" spans="1:8" x14ac:dyDescent="0.2">
      <c r="A93" s="21" t="s">
        <v>434</v>
      </c>
      <c r="B93" s="21">
        <v>1</v>
      </c>
      <c r="C93" s="21" t="s">
        <v>88</v>
      </c>
      <c r="D93" s="21" t="s">
        <v>14</v>
      </c>
      <c r="E93" s="21" t="s">
        <v>98</v>
      </c>
      <c r="F93" s="26" t="str">
        <f>IFERROR(INDEX(Alumnos!$B$2:$B$31,MATCH($E93,Alumnos!$A$2:$A$31,0))&amp;", "&amp;INDEX(Alumnos!$C$2:$C$31,MATCH($E93,Alumnos!$A$2:$A$31,0)),"")</f>
        <v>Herrera, Delfina</v>
      </c>
      <c r="G93" s="21" t="s">
        <v>25</v>
      </c>
      <c r="H93" s="22"/>
    </row>
    <row r="94" spans="1:8" x14ac:dyDescent="0.2">
      <c r="A94" s="21" t="s">
        <v>434</v>
      </c>
      <c r="B94" s="21">
        <v>1</v>
      </c>
      <c r="C94" s="21" t="s">
        <v>88</v>
      </c>
      <c r="D94" s="21" t="s">
        <v>14</v>
      </c>
      <c r="E94" s="21" t="s">
        <v>109</v>
      </c>
      <c r="F94" s="26" t="str">
        <f>IFERROR(INDEX(Alumnos!$B$2:$B$31,MATCH($E94,Alumnos!$A$2:$A$31,0))&amp;", "&amp;INDEX(Alumnos!$C$2:$C$31,MATCH($E94,Alumnos!$A$2:$A$31,0)),"")</f>
        <v>Vega, Joaquín</v>
      </c>
      <c r="G94" s="21" t="s">
        <v>25</v>
      </c>
      <c r="H94" s="22"/>
    </row>
    <row r="95" spans="1:8" x14ac:dyDescent="0.2">
      <c r="A95" s="21" t="s">
        <v>434</v>
      </c>
      <c r="B95" s="21">
        <v>1</v>
      </c>
      <c r="C95" s="21" t="s">
        <v>88</v>
      </c>
      <c r="D95" s="21" t="s">
        <v>14</v>
      </c>
      <c r="E95" s="21" t="s">
        <v>121</v>
      </c>
      <c r="F95" s="26" t="str">
        <f>IFERROR(INDEX(Alumnos!$B$2:$B$31,MATCH($E95,Alumnos!$A$2:$A$31,0))&amp;", "&amp;INDEX(Alumnos!$C$2:$C$31,MATCH($E95,Alumnos!$A$2:$A$31,0)),"")</f>
        <v>Silva, Tomás</v>
      </c>
      <c r="G95" s="21" t="s">
        <v>25</v>
      </c>
      <c r="H95" s="22"/>
    </row>
    <row r="96" spans="1:8" x14ac:dyDescent="0.2">
      <c r="A96" s="21" t="s">
        <v>434</v>
      </c>
      <c r="B96" s="21">
        <v>1</v>
      </c>
      <c r="C96" s="21" t="s">
        <v>88</v>
      </c>
      <c r="D96" s="21" t="s">
        <v>14</v>
      </c>
      <c r="E96" s="21" t="s">
        <v>134</v>
      </c>
      <c r="F96" s="26" t="str">
        <f>IFERROR(INDEX(Alumnos!$B$2:$B$31,MATCH($E96,Alumnos!$A$2:$A$31,0))&amp;", "&amp;INDEX(Alumnos!$C$2:$C$31,MATCH($E96,Alumnos!$A$2:$A$31,0)),"")</f>
        <v>Sánchez, Franco</v>
      </c>
      <c r="G96" s="21" t="s">
        <v>27</v>
      </c>
      <c r="H96" s="22"/>
    </row>
    <row r="97" spans="1:8" x14ac:dyDescent="0.2">
      <c r="A97" s="21" t="s">
        <v>434</v>
      </c>
      <c r="B97" s="21">
        <v>1</v>
      </c>
      <c r="C97" s="21" t="s">
        <v>88</v>
      </c>
      <c r="D97" s="21" t="s">
        <v>14</v>
      </c>
      <c r="E97" s="21" t="s">
        <v>144</v>
      </c>
      <c r="F97" s="26" t="str">
        <f>IFERROR(INDEX(Alumnos!$B$2:$B$31,MATCH($E97,Alumnos!$A$2:$A$31,0))&amp;", "&amp;INDEX(Alumnos!$C$2:$C$31,MATCH($E97,Alumnos!$A$2:$A$31,0)),"")</f>
        <v>Luna, Iván</v>
      </c>
      <c r="G97" s="21" t="s">
        <v>17</v>
      </c>
      <c r="H97" s="22" t="s">
        <v>430</v>
      </c>
    </row>
    <row r="98" spans="1:8" x14ac:dyDescent="0.2">
      <c r="A98" s="21" t="s">
        <v>434</v>
      </c>
      <c r="B98" s="21">
        <v>1</v>
      </c>
      <c r="C98" s="21" t="s">
        <v>88</v>
      </c>
      <c r="D98" s="21" t="s">
        <v>14</v>
      </c>
      <c r="E98" s="21" t="s">
        <v>156</v>
      </c>
      <c r="F98" s="26" t="str">
        <f>IFERROR(INDEX(Alumnos!$B$2:$B$31,MATCH($E98,Alumnos!$A$2:$A$31,0))&amp;", "&amp;INDEX(Alumnos!$C$2:$C$31,MATCH($E98,Alumnos!$A$2:$A$31,0)),"")</f>
        <v>Medina, Valentina</v>
      </c>
      <c r="G98" s="21" t="s">
        <v>25</v>
      </c>
      <c r="H98" s="22"/>
    </row>
    <row r="99" spans="1:8" x14ac:dyDescent="0.2">
      <c r="A99" s="21" t="s">
        <v>434</v>
      </c>
      <c r="B99" s="21">
        <v>1</v>
      </c>
      <c r="C99" s="21" t="s">
        <v>88</v>
      </c>
      <c r="D99" s="21" t="s">
        <v>14</v>
      </c>
      <c r="E99" s="21" t="s">
        <v>168</v>
      </c>
      <c r="F99" s="26" t="str">
        <f>IFERROR(INDEX(Alumnos!$B$2:$B$31,MATCH($E99,Alumnos!$A$2:$A$31,0))&amp;", "&amp;INDEX(Alumnos!$C$2:$C$31,MATCH($E99,Alumnos!$A$2:$A$31,0)),"")</f>
        <v>Rojas, María</v>
      </c>
      <c r="G99" s="21" t="s">
        <v>25</v>
      </c>
      <c r="H99" s="22"/>
    </row>
    <row r="100" spans="1:8" x14ac:dyDescent="0.2">
      <c r="A100" s="21" t="s">
        <v>434</v>
      </c>
      <c r="B100" s="21">
        <v>1</v>
      </c>
      <c r="C100" s="21" t="s">
        <v>88</v>
      </c>
      <c r="D100" s="21" t="s">
        <v>14</v>
      </c>
      <c r="E100" s="21" t="s">
        <v>178</v>
      </c>
      <c r="F100" s="26" t="str">
        <f>IFERROR(INDEX(Alumnos!$B$2:$B$31,MATCH($E100,Alumnos!$A$2:$A$31,0))&amp;", "&amp;INDEX(Alumnos!$C$2:$C$31,MATCH($E100,Alumnos!$A$2:$A$31,0)),"")</f>
        <v>Cabrera, Sofía</v>
      </c>
      <c r="G100" s="21" t="s">
        <v>30</v>
      </c>
      <c r="H100" s="22" t="s">
        <v>431</v>
      </c>
    </row>
    <row r="101" spans="1:8" x14ac:dyDescent="0.2">
      <c r="A101" s="21" t="s">
        <v>434</v>
      </c>
      <c r="B101" s="21">
        <v>1</v>
      </c>
      <c r="C101" s="21" t="s">
        <v>88</v>
      </c>
      <c r="D101" s="21" t="s">
        <v>14</v>
      </c>
      <c r="E101" s="21" t="s">
        <v>188</v>
      </c>
      <c r="F101" s="26" t="str">
        <f>IFERROR(INDEX(Alumnos!$B$2:$B$31,MATCH($E101,Alumnos!$A$2:$A$31,0))&amp;", "&amp;INDEX(Alumnos!$C$2:$C$31,MATCH($E101,Alumnos!$A$2:$A$31,0)),"")</f>
        <v>Núñez, Renata</v>
      </c>
      <c r="G101" s="21" t="s">
        <v>25</v>
      </c>
      <c r="H101" s="22"/>
    </row>
    <row r="102" spans="1:8" x14ac:dyDescent="0.2">
      <c r="A102" s="21" t="s">
        <v>434</v>
      </c>
      <c r="B102" s="21">
        <v>2</v>
      </c>
      <c r="C102" s="21" t="s">
        <v>88</v>
      </c>
      <c r="D102" s="21" t="s">
        <v>14</v>
      </c>
      <c r="E102" s="21" t="s">
        <v>197</v>
      </c>
      <c r="F102" s="26" t="str">
        <f>IFERROR(INDEX(Alumnos!$B$2:$B$31,MATCH($E102,Alumnos!$A$2:$A$31,0))&amp;", "&amp;INDEX(Alumnos!$C$2:$C$31,MATCH($E102,Alumnos!$A$2:$A$31,0)),"")</f>
        <v>Pérez, Emilia</v>
      </c>
      <c r="G102" s="21" t="s">
        <v>25</v>
      </c>
      <c r="H102" s="22"/>
    </row>
    <row r="103" spans="1:8" x14ac:dyDescent="0.2">
      <c r="A103" s="21" t="s">
        <v>434</v>
      </c>
      <c r="B103" s="21">
        <v>2</v>
      </c>
      <c r="C103" s="21" t="s">
        <v>88</v>
      </c>
      <c r="D103" s="21" t="s">
        <v>14</v>
      </c>
      <c r="E103" s="21" t="s">
        <v>204</v>
      </c>
      <c r="F103" s="26" t="str">
        <f>IFERROR(INDEX(Alumnos!$B$2:$B$31,MATCH($E103,Alumnos!$A$2:$A$31,0))&amp;", "&amp;INDEX(Alumnos!$C$2:$C$31,MATCH($E103,Alumnos!$A$2:$A$31,0)),"")</f>
        <v>Aguirre, Camila</v>
      </c>
      <c r="G103" s="21" t="s">
        <v>25</v>
      </c>
      <c r="H103" s="22"/>
    </row>
    <row r="104" spans="1:8" x14ac:dyDescent="0.2">
      <c r="A104" s="21" t="s">
        <v>434</v>
      </c>
      <c r="B104" s="21">
        <v>2</v>
      </c>
      <c r="C104" s="21" t="s">
        <v>88</v>
      </c>
      <c r="D104" s="21" t="s">
        <v>14</v>
      </c>
      <c r="E104" s="21" t="s">
        <v>212</v>
      </c>
      <c r="F104" s="26" t="str">
        <f>IFERROR(INDEX(Alumnos!$B$2:$B$31,MATCH($E104,Alumnos!$A$2:$A$31,0))&amp;", "&amp;INDEX(Alumnos!$C$2:$C$31,MATCH($E104,Alumnos!$A$2:$A$31,0)),"")</f>
        <v>Aguirre, Guadalupe</v>
      </c>
      <c r="G104" s="21" t="s">
        <v>17</v>
      </c>
      <c r="H104" s="22" t="s">
        <v>430</v>
      </c>
    </row>
    <row r="105" spans="1:8" x14ac:dyDescent="0.2">
      <c r="A105" s="21" t="s">
        <v>434</v>
      </c>
      <c r="B105" s="21">
        <v>2</v>
      </c>
      <c r="C105" s="21" t="s">
        <v>88</v>
      </c>
      <c r="D105" s="21" t="s">
        <v>14</v>
      </c>
      <c r="E105" s="21" t="s">
        <v>223</v>
      </c>
      <c r="F105" s="26" t="str">
        <f>IFERROR(INDEX(Alumnos!$B$2:$B$31,MATCH($E105,Alumnos!$A$2:$A$31,0))&amp;", "&amp;INDEX(Alumnos!$C$2:$C$31,MATCH($E105,Alumnos!$A$2:$A$31,0)),"")</f>
        <v>Acosta, Bruno</v>
      </c>
      <c r="G105" s="21" t="s">
        <v>25</v>
      </c>
      <c r="H105" s="22"/>
    </row>
    <row r="106" spans="1:8" x14ac:dyDescent="0.2">
      <c r="A106" s="21" t="s">
        <v>434</v>
      </c>
      <c r="B106" s="21">
        <v>2</v>
      </c>
      <c r="C106" s="21" t="s">
        <v>88</v>
      </c>
      <c r="D106" s="21" t="s">
        <v>14</v>
      </c>
      <c r="E106" s="21" t="s">
        <v>232</v>
      </c>
      <c r="F106" s="26" t="str">
        <f>IFERROR(INDEX(Alumnos!$B$2:$B$31,MATCH($E106,Alumnos!$A$2:$A$31,0))&amp;", "&amp;INDEX(Alumnos!$C$2:$C$31,MATCH($E106,Alumnos!$A$2:$A$31,0)),"")</f>
        <v>Flores, Valentina</v>
      </c>
      <c r="G106" s="21" t="s">
        <v>25</v>
      </c>
      <c r="H106" s="22"/>
    </row>
    <row r="107" spans="1:8" x14ac:dyDescent="0.2">
      <c r="A107" s="21" t="s">
        <v>434</v>
      </c>
      <c r="B107" s="21">
        <v>2</v>
      </c>
      <c r="C107" s="21" t="s">
        <v>88</v>
      </c>
      <c r="D107" s="21" t="s">
        <v>14</v>
      </c>
      <c r="E107" s="21" t="s">
        <v>239</v>
      </c>
      <c r="F107" s="26" t="str">
        <f>IFERROR(INDEX(Alumnos!$B$2:$B$31,MATCH($E107,Alumnos!$A$2:$A$31,0))&amp;", "&amp;INDEX(Alumnos!$C$2:$C$31,MATCH($E107,Alumnos!$A$2:$A$31,0)),"")</f>
        <v>Aguirre, Juan</v>
      </c>
      <c r="G107" s="21" t="s">
        <v>25</v>
      </c>
      <c r="H107" s="22"/>
    </row>
    <row r="108" spans="1:8" x14ac:dyDescent="0.2">
      <c r="A108" s="21" t="s">
        <v>434</v>
      </c>
      <c r="B108" s="21">
        <v>2</v>
      </c>
      <c r="C108" s="21" t="s">
        <v>88</v>
      </c>
      <c r="D108" s="21" t="s">
        <v>14</v>
      </c>
      <c r="E108" s="21" t="s">
        <v>247</v>
      </c>
      <c r="F108" s="26" t="str">
        <f>IFERROR(INDEX(Alumnos!$B$2:$B$31,MATCH($E108,Alumnos!$A$2:$A$31,0))&amp;", "&amp;INDEX(Alumnos!$C$2:$C$31,MATCH($E108,Alumnos!$A$2:$A$31,0)),"")</f>
        <v>Ruiz, Camila</v>
      </c>
      <c r="G108" s="21" t="s">
        <v>25</v>
      </c>
      <c r="H108" s="22"/>
    </row>
    <row r="109" spans="1:8" x14ac:dyDescent="0.2">
      <c r="A109" s="21" t="s">
        <v>434</v>
      </c>
      <c r="B109" s="21">
        <v>2</v>
      </c>
      <c r="C109" s="21" t="s">
        <v>88</v>
      </c>
      <c r="D109" s="21" t="s">
        <v>14</v>
      </c>
      <c r="E109" s="21" t="s">
        <v>255</v>
      </c>
      <c r="F109" s="26" t="str">
        <f>IFERROR(INDEX(Alumnos!$B$2:$B$31,MATCH($E109,Alumnos!$A$2:$A$31,0))&amp;", "&amp;INDEX(Alumnos!$C$2:$C$31,MATCH($E109,Alumnos!$A$2:$A$31,0)),"")</f>
        <v>Castro, Nicolás</v>
      </c>
      <c r="G109" s="21" t="s">
        <v>25</v>
      </c>
      <c r="H109" s="22"/>
    </row>
    <row r="110" spans="1:8" x14ac:dyDescent="0.2">
      <c r="A110" s="21" t="s">
        <v>434</v>
      </c>
      <c r="B110" s="21">
        <v>2</v>
      </c>
      <c r="C110" s="21" t="s">
        <v>88</v>
      </c>
      <c r="D110" s="21" t="s">
        <v>14</v>
      </c>
      <c r="E110" s="21" t="s">
        <v>263</v>
      </c>
      <c r="F110" s="26" t="str">
        <f>IFERROR(INDEX(Alumnos!$B$2:$B$31,MATCH($E110,Alumnos!$A$2:$A$31,0))&amp;", "&amp;INDEX(Alumnos!$C$2:$C$31,MATCH($E110,Alumnos!$A$2:$A$31,0)),"")</f>
        <v>Suárez, Julieta</v>
      </c>
      <c r="G110" s="21" t="s">
        <v>25</v>
      </c>
      <c r="H110" s="22"/>
    </row>
    <row r="111" spans="1:8" x14ac:dyDescent="0.2">
      <c r="A111" s="21" t="s">
        <v>434</v>
      </c>
      <c r="B111" s="21">
        <v>2</v>
      </c>
      <c r="C111" s="21" t="s">
        <v>88</v>
      </c>
      <c r="D111" s="21" t="s">
        <v>14</v>
      </c>
      <c r="E111" s="21" t="s">
        <v>271</v>
      </c>
      <c r="F111" s="26" t="str">
        <f>IFERROR(INDEX(Alumnos!$B$2:$B$31,MATCH($E111,Alumnos!$A$2:$A$31,0))&amp;", "&amp;INDEX(Alumnos!$C$2:$C$31,MATCH($E111,Alumnos!$A$2:$A$31,0)),"")</f>
        <v>Vega, Benjamín</v>
      </c>
      <c r="G111" s="21" t="s">
        <v>25</v>
      </c>
      <c r="H111" s="22"/>
    </row>
    <row r="112" spans="1:8" x14ac:dyDescent="0.2">
      <c r="A112" s="21" t="s">
        <v>434</v>
      </c>
      <c r="B112" s="21">
        <v>3</v>
      </c>
      <c r="C112" s="21" t="s">
        <v>88</v>
      </c>
      <c r="D112" s="21" t="s">
        <v>17</v>
      </c>
      <c r="E112" s="21" t="s">
        <v>280</v>
      </c>
      <c r="F112" s="26" t="str">
        <f>IFERROR(INDEX(Alumnos!$B$2:$B$31,MATCH($E112,Alumnos!$A$2:$A$31,0))&amp;", "&amp;INDEX(Alumnos!$C$2:$C$31,MATCH($E112,Alumnos!$A$2:$A$31,0)),"")</f>
        <v>Molina, Milagros</v>
      </c>
      <c r="G112" s="21" t="s">
        <v>25</v>
      </c>
      <c r="H112" s="22"/>
    </row>
    <row r="113" spans="1:8" x14ac:dyDescent="0.2">
      <c r="A113" s="21" t="s">
        <v>434</v>
      </c>
      <c r="B113" s="21">
        <v>3</v>
      </c>
      <c r="C113" s="21" t="s">
        <v>88</v>
      </c>
      <c r="D113" s="21" t="s">
        <v>17</v>
      </c>
      <c r="E113" s="21" t="s">
        <v>287</v>
      </c>
      <c r="F113" s="26" t="str">
        <f>IFERROR(INDEX(Alumnos!$B$2:$B$31,MATCH($E113,Alumnos!$A$2:$A$31,0))&amp;", "&amp;INDEX(Alumnos!$C$2:$C$31,MATCH($E113,Alumnos!$A$2:$A$31,0)),"")</f>
        <v>Rodríguez, Renata</v>
      </c>
      <c r="G113" s="21" t="s">
        <v>27</v>
      </c>
      <c r="H113" s="22"/>
    </row>
    <row r="114" spans="1:8" x14ac:dyDescent="0.2">
      <c r="A114" s="21" t="s">
        <v>434</v>
      </c>
      <c r="B114" s="21">
        <v>3</v>
      </c>
      <c r="C114" s="21" t="s">
        <v>88</v>
      </c>
      <c r="D114" s="21" t="s">
        <v>17</v>
      </c>
      <c r="E114" s="21" t="s">
        <v>294</v>
      </c>
      <c r="F114" s="26" t="str">
        <f>IFERROR(INDEX(Alumnos!$B$2:$B$31,MATCH($E114,Alumnos!$A$2:$A$31,0))&amp;", "&amp;INDEX(Alumnos!$C$2:$C$31,MATCH($E114,Alumnos!$A$2:$A$31,0)),"")</f>
        <v>Peralta, Franco</v>
      </c>
      <c r="G114" s="21" t="s">
        <v>25</v>
      </c>
      <c r="H114" s="22"/>
    </row>
    <row r="115" spans="1:8" x14ac:dyDescent="0.2">
      <c r="A115" s="21" t="s">
        <v>434</v>
      </c>
      <c r="B115" s="21">
        <v>3</v>
      </c>
      <c r="C115" s="21" t="s">
        <v>88</v>
      </c>
      <c r="D115" s="21" t="s">
        <v>17</v>
      </c>
      <c r="E115" s="21" t="s">
        <v>302</v>
      </c>
      <c r="F115" s="26" t="str">
        <f>IFERROR(INDEX(Alumnos!$B$2:$B$31,MATCH($E115,Alumnos!$A$2:$A$31,0))&amp;", "&amp;INDEX(Alumnos!$C$2:$C$31,MATCH($E115,Alumnos!$A$2:$A$31,0)),"")</f>
        <v>Sánchez, Renata</v>
      </c>
      <c r="G115" s="21" t="s">
        <v>25</v>
      </c>
      <c r="H115" s="22"/>
    </row>
    <row r="116" spans="1:8" x14ac:dyDescent="0.2">
      <c r="A116" s="21" t="s">
        <v>434</v>
      </c>
      <c r="B116" s="21">
        <v>3</v>
      </c>
      <c r="C116" s="21" t="s">
        <v>88</v>
      </c>
      <c r="D116" s="21" t="s">
        <v>17</v>
      </c>
      <c r="E116" s="21" t="s">
        <v>309</v>
      </c>
      <c r="F116" s="26" t="str">
        <f>IFERROR(INDEX(Alumnos!$B$2:$B$31,MATCH($E116,Alumnos!$A$2:$A$31,0))&amp;", "&amp;INDEX(Alumnos!$C$2:$C$31,MATCH($E116,Alumnos!$A$2:$A$31,0)),"")</f>
        <v>Martínez, Benjamín</v>
      </c>
      <c r="G116" s="21" t="s">
        <v>30</v>
      </c>
      <c r="H116" s="22" t="s">
        <v>431</v>
      </c>
    </row>
    <row r="117" spans="1:8" x14ac:dyDescent="0.2">
      <c r="A117" s="21" t="s">
        <v>434</v>
      </c>
      <c r="B117" s="21">
        <v>3</v>
      </c>
      <c r="C117" s="21" t="s">
        <v>88</v>
      </c>
      <c r="D117" s="21" t="s">
        <v>17</v>
      </c>
      <c r="E117" s="21" t="s">
        <v>317</v>
      </c>
      <c r="F117" s="26" t="str">
        <f>IFERROR(INDEX(Alumnos!$B$2:$B$31,MATCH($E117,Alumnos!$A$2:$A$31,0))&amp;", "&amp;INDEX(Alumnos!$C$2:$C$31,MATCH($E117,Alumnos!$A$2:$A$31,0)),"")</f>
        <v>Medina, María</v>
      </c>
      <c r="G117" s="21" t="s">
        <v>17</v>
      </c>
      <c r="H117" s="22" t="s">
        <v>430</v>
      </c>
    </row>
    <row r="118" spans="1:8" x14ac:dyDescent="0.2">
      <c r="A118" s="21" t="s">
        <v>434</v>
      </c>
      <c r="B118" s="21">
        <v>3</v>
      </c>
      <c r="C118" s="21" t="s">
        <v>88</v>
      </c>
      <c r="D118" s="21" t="s">
        <v>17</v>
      </c>
      <c r="E118" s="21" t="s">
        <v>325</v>
      </c>
      <c r="F118" s="26" t="str">
        <f>IFERROR(INDEX(Alumnos!$B$2:$B$31,MATCH($E118,Alumnos!$A$2:$A$31,0))&amp;", "&amp;INDEX(Alumnos!$C$2:$C$31,MATCH($E118,Alumnos!$A$2:$A$31,0)),"")</f>
        <v>Molina, Facundo</v>
      </c>
      <c r="G118" s="21" t="s">
        <v>25</v>
      </c>
      <c r="H118" s="22"/>
    </row>
    <row r="119" spans="1:8" x14ac:dyDescent="0.2">
      <c r="A119" s="21" t="s">
        <v>434</v>
      </c>
      <c r="B119" s="21">
        <v>3</v>
      </c>
      <c r="C119" s="21" t="s">
        <v>88</v>
      </c>
      <c r="D119" s="21" t="s">
        <v>17</v>
      </c>
      <c r="E119" s="21" t="s">
        <v>332</v>
      </c>
      <c r="F119" s="26" t="str">
        <f>IFERROR(INDEX(Alumnos!$B$2:$B$31,MATCH($E119,Alumnos!$A$2:$A$31,0))&amp;", "&amp;INDEX(Alumnos!$C$2:$C$31,MATCH($E119,Alumnos!$A$2:$A$31,0)),"")</f>
        <v>Álvarez, Pilar</v>
      </c>
      <c r="G119" s="21" t="s">
        <v>25</v>
      </c>
      <c r="H119" s="22"/>
    </row>
    <row r="120" spans="1:8" x14ac:dyDescent="0.2">
      <c r="A120" s="21" t="s">
        <v>434</v>
      </c>
      <c r="B120" s="21">
        <v>3</v>
      </c>
      <c r="C120" s="21" t="s">
        <v>88</v>
      </c>
      <c r="D120" s="21" t="s">
        <v>17</v>
      </c>
      <c r="E120" s="21" t="s">
        <v>339</v>
      </c>
      <c r="F120" s="26" t="str">
        <f>IFERROR(INDEX(Alumnos!$B$2:$B$31,MATCH($E120,Alumnos!$A$2:$A$31,0))&amp;", "&amp;INDEX(Alumnos!$C$2:$C$31,MATCH($E120,Alumnos!$A$2:$A$31,0)),"")</f>
        <v>Suárez, Pilar</v>
      </c>
      <c r="G120" s="21" t="s">
        <v>17</v>
      </c>
      <c r="H120" s="22" t="s">
        <v>430</v>
      </c>
    </row>
    <row r="121" spans="1:8" x14ac:dyDescent="0.2">
      <c r="A121" s="21" t="s">
        <v>434</v>
      </c>
      <c r="B121" s="21">
        <v>3</v>
      </c>
      <c r="C121" s="21" t="s">
        <v>88</v>
      </c>
      <c r="D121" s="21" t="s">
        <v>17</v>
      </c>
      <c r="E121" s="21" t="s">
        <v>347</v>
      </c>
      <c r="F121" s="26" t="str">
        <f>IFERROR(INDEX(Alumnos!$B$2:$B$31,MATCH($E121,Alumnos!$A$2:$A$31,0))&amp;", "&amp;INDEX(Alumnos!$C$2:$C$31,MATCH($E121,Alumnos!$A$2:$A$31,0)),"")</f>
        <v>Sánchez, Facundo</v>
      </c>
      <c r="G121" s="21" t="s">
        <v>25</v>
      </c>
      <c r="H121" s="22"/>
    </row>
    <row r="122" spans="1:8" x14ac:dyDescent="0.2">
      <c r="A122" s="21" t="s">
        <v>435</v>
      </c>
      <c r="B122" s="21">
        <v>1</v>
      </c>
      <c r="C122" s="21" t="s">
        <v>88</v>
      </c>
      <c r="D122" s="21" t="s">
        <v>14</v>
      </c>
      <c r="E122" s="21" t="s">
        <v>84</v>
      </c>
      <c r="F122" s="26" t="str">
        <f>IFERROR(INDEX(Alumnos!$B$2:$B$31,MATCH($E122,Alumnos!$A$2:$A$31,0))&amp;", "&amp;INDEX(Alumnos!$C$2:$C$31,MATCH($E122,Alumnos!$A$2:$A$31,0)),"")</f>
        <v>Ortiz, María</v>
      </c>
      <c r="G122" s="21" t="s">
        <v>27</v>
      </c>
      <c r="H122" s="22"/>
    </row>
    <row r="123" spans="1:8" x14ac:dyDescent="0.2">
      <c r="A123" s="21" t="s">
        <v>435</v>
      </c>
      <c r="B123" s="21">
        <v>1</v>
      </c>
      <c r="C123" s="21" t="s">
        <v>88</v>
      </c>
      <c r="D123" s="21" t="s">
        <v>14</v>
      </c>
      <c r="E123" s="21" t="s">
        <v>98</v>
      </c>
      <c r="F123" s="26" t="str">
        <f>IFERROR(INDEX(Alumnos!$B$2:$B$31,MATCH($E123,Alumnos!$A$2:$A$31,0))&amp;", "&amp;INDEX(Alumnos!$C$2:$C$31,MATCH($E123,Alumnos!$A$2:$A$31,0)),"")</f>
        <v>Herrera, Delfina</v>
      </c>
      <c r="G123" s="21" t="s">
        <v>25</v>
      </c>
      <c r="H123" s="22"/>
    </row>
    <row r="124" spans="1:8" x14ac:dyDescent="0.2">
      <c r="A124" s="21" t="s">
        <v>435</v>
      </c>
      <c r="B124" s="21">
        <v>1</v>
      </c>
      <c r="C124" s="21" t="s">
        <v>88</v>
      </c>
      <c r="D124" s="21" t="s">
        <v>14</v>
      </c>
      <c r="E124" s="21" t="s">
        <v>109</v>
      </c>
      <c r="F124" s="26" t="str">
        <f>IFERROR(INDEX(Alumnos!$B$2:$B$31,MATCH($E124,Alumnos!$A$2:$A$31,0))&amp;", "&amp;INDEX(Alumnos!$C$2:$C$31,MATCH($E124,Alumnos!$A$2:$A$31,0)),"")</f>
        <v>Vega, Joaquín</v>
      </c>
      <c r="G124" s="21" t="s">
        <v>17</v>
      </c>
      <c r="H124" s="22" t="s">
        <v>430</v>
      </c>
    </row>
    <row r="125" spans="1:8" x14ac:dyDescent="0.2">
      <c r="A125" s="21" t="s">
        <v>435</v>
      </c>
      <c r="B125" s="21">
        <v>1</v>
      </c>
      <c r="C125" s="21" t="s">
        <v>88</v>
      </c>
      <c r="D125" s="21" t="s">
        <v>14</v>
      </c>
      <c r="E125" s="21" t="s">
        <v>121</v>
      </c>
      <c r="F125" s="26" t="str">
        <f>IFERROR(INDEX(Alumnos!$B$2:$B$31,MATCH($E125,Alumnos!$A$2:$A$31,0))&amp;", "&amp;INDEX(Alumnos!$C$2:$C$31,MATCH($E125,Alumnos!$A$2:$A$31,0)),"")</f>
        <v>Silva, Tomás</v>
      </c>
      <c r="G125" s="21" t="s">
        <v>25</v>
      </c>
      <c r="H125" s="22"/>
    </row>
    <row r="126" spans="1:8" x14ac:dyDescent="0.2">
      <c r="A126" s="21" t="s">
        <v>435</v>
      </c>
      <c r="B126" s="21">
        <v>1</v>
      </c>
      <c r="C126" s="21" t="s">
        <v>88</v>
      </c>
      <c r="D126" s="21" t="s">
        <v>14</v>
      </c>
      <c r="E126" s="21" t="s">
        <v>134</v>
      </c>
      <c r="F126" s="26" t="str">
        <f>IFERROR(INDEX(Alumnos!$B$2:$B$31,MATCH($E126,Alumnos!$A$2:$A$31,0))&amp;", "&amp;INDEX(Alumnos!$C$2:$C$31,MATCH($E126,Alumnos!$A$2:$A$31,0)),"")</f>
        <v>Sánchez, Franco</v>
      </c>
      <c r="G126" s="21" t="s">
        <v>17</v>
      </c>
      <c r="H126" s="22" t="s">
        <v>430</v>
      </c>
    </row>
    <row r="127" spans="1:8" x14ac:dyDescent="0.2">
      <c r="A127" s="21" t="s">
        <v>435</v>
      </c>
      <c r="B127" s="21">
        <v>1</v>
      </c>
      <c r="C127" s="21" t="s">
        <v>88</v>
      </c>
      <c r="D127" s="21" t="s">
        <v>14</v>
      </c>
      <c r="E127" s="21" t="s">
        <v>144</v>
      </c>
      <c r="F127" s="26" t="str">
        <f>IFERROR(INDEX(Alumnos!$B$2:$B$31,MATCH($E127,Alumnos!$A$2:$A$31,0))&amp;", "&amp;INDEX(Alumnos!$C$2:$C$31,MATCH($E127,Alumnos!$A$2:$A$31,0)),"")</f>
        <v>Luna, Iván</v>
      </c>
      <c r="G127" s="21" t="s">
        <v>25</v>
      </c>
      <c r="H127" s="22"/>
    </row>
    <row r="128" spans="1:8" x14ac:dyDescent="0.2">
      <c r="A128" s="21" t="s">
        <v>435</v>
      </c>
      <c r="B128" s="21">
        <v>1</v>
      </c>
      <c r="C128" s="21" t="s">
        <v>88</v>
      </c>
      <c r="D128" s="21" t="s">
        <v>14</v>
      </c>
      <c r="E128" s="21" t="s">
        <v>156</v>
      </c>
      <c r="F128" s="26" t="str">
        <f>IFERROR(INDEX(Alumnos!$B$2:$B$31,MATCH($E128,Alumnos!$A$2:$A$31,0))&amp;", "&amp;INDEX(Alumnos!$C$2:$C$31,MATCH($E128,Alumnos!$A$2:$A$31,0)),"")</f>
        <v>Medina, Valentina</v>
      </c>
      <c r="G128" s="21" t="s">
        <v>30</v>
      </c>
      <c r="H128" s="22" t="s">
        <v>431</v>
      </c>
    </row>
    <row r="129" spans="1:8" x14ac:dyDescent="0.2">
      <c r="A129" s="21" t="s">
        <v>435</v>
      </c>
      <c r="B129" s="21">
        <v>1</v>
      </c>
      <c r="C129" s="21" t="s">
        <v>88</v>
      </c>
      <c r="D129" s="21" t="s">
        <v>14</v>
      </c>
      <c r="E129" s="21" t="s">
        <v>168</v>
      </c>
      <c r="F129" s="26" t="str">
        <f>IFERROR(INDEX(Alumnos!$B$2:$B$31,MATCH($E129,Alumnos!$A$2:$A$31,0))&amp;", "&amp;INDEX(Alumnos!$C$2:$C$31,MATCH($E129,Alumnos!$A$2:$A$31,0)),"")</f>
        <v>Rojas, María</v>
      </c>
      <c r="G129" s="21" t="s">
        <v>25</v>
      </c>
      <c r="H129" s="22"/>
    </row>
    <row r="130" spans="1:8" x14ac:dyDescent="0.2">
      <c r="A130" s="21" t="s">
        <v>435</v>
      </c>
      <c r="B130" s="21">
        <v>1</v>
      </c>
      <c r="C130" s="21" t="s">
        <v>88</v>
      </c>
      <c r="D130" s="21" t="s">
        <v>14</v>
      </c>
      <c r="E130" s="21" t="s">
        <v>178</v>
      </c>
      <c r="F130" s="26" t="str">
        <f>IFERROR(INDEX(Alumnos!$B$2:$B$31,MATCH($E130,Alumnos!$A$2:$A$31,0))&amp;", "&amp;INDEX(Alumnos!$C$2:$C$31,MATCH($E130,Alumnos!$A$2:$A$31,0)),"")</f>
        <v>Cabrera, Sofía</v>
      </c>
      <c r="G130" s="21" t="s">
        <v>27</v>
      </c>
      <c r="H130" s="22"/>
    </row>
    <row r="131" spans="1:8" x14ac:dyDescent="0.2">
      <c r="A131" s="21" t="s">
        <v>435</v>
      </c>
      <c r="B131" s="21">
        <v>1</v>
      </c>
      <c r="C131" s="21" t="s">
        <v>88</v>
      </c>
      <c r="D131" s="21" t="s">
        <v>14</v>
      </c>
      <c r="E131" s="21" t="s">
        <v>188</v>
      </c>
      <c r="F131" s="26" t="str">
        <f>IFERROR(INDEX(Alumnos!$B$2:$B$31,MATCH($E131,Alumnos!$A$2:$A$31,0))&amp;", "&amp;INDEX(Alumnos!$C$2:$C$31,MATCH($E131,Alumnos!$A$2:$A$31,0)),"")</f>
        <v>Núñez, Renata</v>
      </c>
      <c r="G131" s="21" t="s">
        <v>17</v>
      </c>
      <c r="H131" s="22" t="s">
        <v>430</v>
      </c>
    </row>
    <row r="132" spans="1:8" x14ac:dyDescent="0.2">
      <c r="A132" s="21" t="s">
        <v>435</v>
      </c>
      <c r="B132" s="21">
        <v>2</v>
      </c>
      <c r="C132" s="21" t="s">
        <v>88</v>
      </c>
      <c r="D132" s="21" t="s">
        <v>14</v>
      </c>
      <c r="E132" s="21" t="s">
        <v>197</v>
      </c>
      <c r="F132" s="26" t="str">
        <f>IFERROR(INDEX(Alumnos!$B$2:$B$31,MATCH($E132,Alumnos!$A$2:$A$31,0))&amp;", "&amp;INDEX(Alumnos!$C$2:$C$31,MATCH($E132,Alumnos!$A$2:$A$31,0)),"")</f>
        <v>Pérez, Emilia</v>
      </c>
      <c r="G132" s="21" t="s">
        <v>17</v>
      </c>
      <c r="H132" s="22" t="s">
        <v>430</v>
      </c>
    </row>
    <row r="133" spans="1:8" x14ac:dyDescent="0.2">
      <c r="A133" s="21" t="s">
        <v>435</v>
      </c>
      <c r="B133" s="21">
        <v>2</v>
      </c>
      <c r="C133" s="21" t="s">
        <v>88</v>
      </c>
      <c r="D133" s="21" t="s">
        <v>14</v>
      </c>
      <c r="E133" s="21" t="s">
        <v>204</v>
      </c>
      <c r="F133" s="26" t="str">
        <f>IFERROR(INDEX(Alumnos!$B$2:$B$31,MATCH($E133,Alumnos!$A$2:$A$31,0))&amp;", "&amp;INDEX(Alumnos!$C$2:$C$31,MATCH($E133,Alumnos!$A$2:$A$31,0)),"")</f>
        <v>Aguirre, Camila</v>
      </c>
      <c r="G133" s="21" t="s">
        <v>17</v>
      </c>
      <c r="H133" s="22" t="s">
        <v>430</v>
      </c>
    </row>
    <row r="134" spans="1:8" x14ac:dyDescent="0.2">
      <c r="A134" s="21" t="s">
        <v>435</v>
      </c>
      <c r="B134" s="21">
        <v>2</v>
      </c>
      <c r="C134" s="21" t="s">
        <v>88</v>
      </c>
      <c r="D134" s="21" t="s">
        <v>14</v>
      </c>
      <c r="E134" s="21" t="s">
        <v>212</v>
      </c>
      <c r="F134" s="26" t="str">
        <f>IFERROR(INDEX(Alumnos!$B$2:$B$31,MATCH($E134,Alumnos!$A$2:$A$31,0))&amp;", "&amp;INDEX(Alumnos!$C$2:$C$31,MATCH($E134,Alumnos!$A$2:$A$31,0)),"")</f>
        <v>Aguirre, Guadalupe</v>
      </c>
      <c r="G134" s="21" t="s">
        <v>25</v>
      </c>
      <c r="H134" s="22"/>
    </row>
    <row r="135" spans="1:8" x14ac:dyDescent="0.2">
      <c r="A135" s="21" t="s">
        <v>435</v>
      </c>
      <c r="B135" s="21">
        <v>2</v>
      </c>
      <c r="C135" s="21" t="s">
        <v>88</v>
      </c>
      <c r="D135" s="21" t="s">
        <v>14</v>
      </c>
      <c r="E135" s="21" t="s">
        <v>223</v>
      </c>
      <c r="F135" s="26" t="str">
        <f>IFERROR(INDEX(Alumnos!$B$2:$B$31,MATCH($E135,Alumnos!$A$2:$A$31,0))&amp;", "&amp;INDEX(Alumnos!$C$2:$C$31,MATCH($E135,Alumnos!$A$2:$A$31,0)),"")</f>
        <v>Acosta, Bruno</v>
      </c>
      <c r="G135" s="21" t="s">
        <v>25</v>
      </c>
      <c r="H135" s="22"/>
    </row>
    <row r="136" spans="1:8" x14ac:dyDescent="0.2">
      <c r="A136" s="21" t="s">
        <v>435</v>
      </c>
      <c r="B136" s="21">
        <v>2</v>
      </c>
      <c r="C136" s="21" t="s">
        <v>88</v>
      </c>
      <c r="D136" s="21" t="s">
        <v>14</v>
      </c>
      <c r="E136" s="21" t="s">
        <v>232</v>
      </c>
      <c r="F136" s="26" t="str">
        <f>IFERROR(INDEX(Alumnos!$B$2:$B$31,MATCH($E136,Alumnos!$A$2:$A$31,0))&amp;", "&amp;INDEX(Alumnos!$C$2:$C$31,MATCH($E136,Alumnos!$A$2:$A$31,0)),"")</f>
        <v>Flores, Valentina</v>
      </c>
      <c r="G136" s="21" t="s">
        <v>17</v>
      </c>
      <c r="H136" s="22" t="s">
        <v>430</v>
      </c>
    </row>
    <row r="137" spans="1:8" x14ac:dyDescent="0.2">
      <c r="A137" s="21" t="s">
        <v>435</v>
      </c>
      <c r="B137" s="21">
        <v>2</v>
      </c>
      <c r="C137" s="21" t="s">
        <v>88</v>
      </c>
      <c r="D137" s="21" t="s">
        <v>14</v>
      </c>
      <c r="E137" s="21" t="s">
        <v>239</v>
      </c>
      <c r="F137" s="26" t="str">
        <f>IFERROR(INDEX(Alumnos!$B$2:$B$31,MATCH($E137,Alumnos!$A$2:$A$31,0))&amp;", "&amp;INDEX(Alumnos!$C$2:$C$31,MATCH($E137,Alumnos!$A$2:$A$31,0)),"")</f>
        <v>Aguirre, Juan</v>
      </c>
      <c r="G137" s="21" t="s">
        <v>25</v>
      </c>
      <c r="H137" s="22"/>
    </row>
    <row r="138" spans="1:8" x14ac:dyDescent="0.2">
      <c r="A138" s="21" t="s">
        <v>435</v>
      </c>
      <c r="B138" s="21">
        <v>2</v>
      </c>
      <c r="C138" s="21" t="s">
        <v>88</v>
      </c>
      <c r="D138" s="21" t="s">
        <v>14</v>
      </c>
      <c r="E138" s="21" t="s">
        <v>247</v>
      </c>
      <c r="F138" s="26" t="str">
        <f>IFERROR(INDEX(Alumnos!$B$2:$B$31,MATCH($E138,Alumnos!$A$2:$A$31,0))&amp;", "&amp;INDEX(Alumnos!$C$2:$C$31,MATCH($E138,Alumnos!$A$2:$A$31,0)),"")</f>
        <v>Ruiz, Camila</v>
      </c>
      <c r="G138" s="21" t="s">
        <v>27</v>
      </c>
      <c r="H138" s="22"/>
    </row>
    <row r="139" spans="1:8" x14ac:dyDescent="0.2">
      <c r="A139" s="21" t="s">
        <v>435</v>
      </c>
      <c r="B139" s="21">
        <v>2</v>
      </c>
      <c r="C139" s="21" t="s">
        <v>88</v>
      </c>
      <c r="D139" s="21" t="s">
        <v>14</v>
      </c>
      <c r="E139" s="21" t="s">
        <v>255</v>
      </c>
      <c r="F139" s="26" t="str">
        <f>IFERROR(INDEX(Alumnos!$B$2:$B$31,MATCH($E139,Alumnos!$A$2:$A$31,0))&amp;", "&amp;INDEX(Alumnos!$C$2:$C$31,MATCH($E139,Alumnos!$A$2:$A$31,0)),"")</f>
        <v>Castro, Nicolás</v>
      </c>
      <c r="G139" s="21" t="s">
        <v>25</v>
      </c>
      <c r="H139" s="22"/>
    </row>
    <row r="140" spans="1:8" x14ac:dyDescent="0.2">
      <c r="A140" s="21" t="s">
        <v>435</v>
      </c>
      <c r="B140" s="21">
        <v>2</v>
      </c>
      <c r="C140" s="21" t="s">
        <v>88</v>
      </c>
      <c r="D140" s="21" t="s">
        <v>14</v>
      </c>
      <c r="E140" s="21" t="s">
        <v>263</v>
      </c>
      <c r="F140" s="26" t="str">
        <f>IFERROR(INDEX(Alumnos!$B$2:$B$31,MATCH($E140,Alumnos!$A$2:$A$31,0))&amp;", "&amp;INDEX(Alumnos!$C$2:$C$31,MATCH($E140,Alumnos!$A$2:$A$31,0)),"")</f>
        <v>Suárez, Julieta</v>
      </c>
      <c r="G140" s="21" t="s">
        <v>30</v>
      </c>
      <c r="H140" s="22" t="s">
        <v>431</v>
      </c>
    </row>
    <row r="141" spans="1:8" x14ac:dyDescent="0.2">
      <c r="A141" s="21" t="s">
        <v>435</v>
      </c>
      <c r="B141" s="21">
        <v>2</v>
      </c>
      <c r="C141" s="21" t="s">
        <v>88</v>
      </c>
      <c r="D141" s="21" t="s">
        <v>14</v>
      </c>
      <c r="E141" s="21" t="s">
        <v>271</v>
      </c>
      <c r="F141" s="26" t="str">
        <f>IFERROR(INDEX(Alumnos!$B$2:$B$31,MATCH($E141,Alumnos!$A$2:$A$31,0))&amp;", "&amp;INDEX(Alumnos!$C$2:$C$31,MATCH($E141,Alumnos!$A$2:$A$31,0)),"")</f>
        <v>Vega, Benjamín</v>
      </c>
      <c r="G141" s="21" t="s">
        <v>27</v>
      </c>
      <c r="H141" s="22"/>
    </row>
    <row r="142" spans="1:8" x14ac:dyDescent="0.2">
      <c r="A142" s="21" t="s">
        <v>435</v>
      </c>
      <c r="B142" s="21">
        <v>3</v>
      </c>
      <c r="C142" s="21" t="s">
        <v>88</v>
      </c>
      <c r="D142" s="21" t="s">
        <v>17</v>
      </c>
      <c r="E142" s="21" t="s">
        <v>280</v>
      </c>
      <c r="F142" s="26" t="str">
        <f>IFERROR(INDEX(Alumnos!$B$2:$B$31,MATCH($E142,Alumnos!$A$2:$A$31,0))&amp;", "&amp;INDEX(Alumnos!$C$2:$C$31,MATCH($E142,Alumnos!$A$2:$A$31,0)),"")</f>
        <v>Molina, Milagros</v>
      </c>
      <c r="G142" s="21" t="s">
        <v>25</v>
      </c>
      <c r="H142" s="22"/>
    </row>
    <row r="143" spans="1:8" x14ac:dyDescent="0.2">
      <c r="A143" s="21" t="s">
        <v>435</v>
      </c>
      <c r="B143" s="21">
        <v>3</v>
      </c>
      <c r="C143" s="21" t="s">
        <v>88</v>
      </c>
      <c r="D143" s="21" t="s">
        <v>17</v>
      </c>
      <c r="E143" s="21" t="s">
        <v>287</v>
      </c>
      <c r="F143" s="26" t="str">
        <f>IFERROR(INDEX(Alumnos!$B$2:$B$31,MATCH($E143,Alumnos!$A$2:$A$31,0))&amp;", "&amp;INDEX(Alumnos!$C$2:$C$31,MATCH($E143,Alumnos!$A$2:$A$31,0)),"")</f>
        <v>Rodríguez, Renata</v>
      </c>
      <c r="G143" s="21" t="s">
        <v>17</v>
      </c>
      <c r="H143" s="22" t="s">
        <v>430</v>
      </c>
    </row>
    <row r="144" spans="1:8" x14ac:dyDescent="0.2">
      <c r="A144" s="21" t="s">
        <v>435</v>
      </c>
      <c r="B144" s="21">
        <v>3</v>
      </c>
      <c r="C144" s="21" t="s">
        <v>88</v>
      </c>
      <c r="D144" s="21" t="s">
        <v>17</v>
      </c>
      <c r="E144" s="21" t="s">
        <v>294</v>
      </c>
      <c r="F144" s="26" t="str">
        <f>IFERROR(INDEX(Alumnos!$B$2:$B$31,MATCH($E144,Alumnos!$A$2:$A$31,0))&amp;", "&amp;INDEX(Alumnos!$C$2:$C$31,MATCH($E144,Alumnos!$A$2:$A$31,0)),"")</f>
        <v>Peralta, Franco</v>
      </c>
      <c r="G144" s="21" t="s">
        <v>25</v>
      </c>
      <c r="H144" s="22"/>
    </row>
    <row r="145" spans="1:8" x14ac:dyDescent="0.2">
      <c r="A145" s="21" t="s">
        <v>435</v>
      </c>
      <c r="B145" s="21">
        <v>3</v>
      </c>
      <c r="C145" s="21" t="s">
        <v>88</v>
      </c>
      <c r="D145" s="21" t="s">
        <v>17</v>
      </c>
      <c r="E145" s="21" t="s">
        <v>302</v>
      </c>
      <c r="F145" s="26" t="str">
        <f>IFERROR(INDEX(Alumnos!$B$2:$B$31,MATCH($E145,Alumnos!$A$2:$A$31,0))&amp;", "&amp;INDEX(Alumnos!$C$2:$C$31,MATCH($E145,Alumnos!$A$2:$A$31,0)),"")</f>
        <v>Sánchez, Renata</v>
      </c>
      <c r="G145" s="21" t="s">
        <v>25</v>
      </c>
      <c r="H145" s="22"/>
    </row>
    <row r="146" spans="1:8" x14ac:dyDescent="0.2">
      <c r="A146" s="21" t="s">
        <v>435</v>
      </c>
      <c r="B146" s="21">
        <v>3</v>
      </c>
      <c r="C146" s="21" t="s">
        <v>88</v>
      </c>
      <c r="D146" s="21" t="s">
        <v>17</v>
      </c>
      <c r="E146" s="21" t="s">
        <v>309</v>
      </c>
      <c r="F146" s="26" t="str">
        <f>IFERROR(INDEX(Alumnos!$B$2:$B$31,MATCH($E146,Alumnos!$A$2:$A$31,0))&amp;", "&amp;INDEX(Alumnos!$C$2:$C$31,MATCH($E146,Alumnos!$A$2:$A$31,0)),"")</f>
        <v>Martínez, Benjamín</v>
      </c>
      <c r="G146" s="21" t="s">
        <v>17</v>
      </c>
      <c r="H146" s="22" t="s">
        <v>430</v>
      </c>
    </row>
    <row r="147" spans="1:8" x14ac:dyDescent="0.2">
      <c r="A147" s="21" t="s">
        <v>435</v>
      </c>
      <c r="B147" s="21">
        <v>3</v>
      </c>
      <c r="C147" s="21" t="s">
        <v>88</v>
      </c>
      <c r="D147" s="21" t="s">
        <v>17</v>
      </c>
      <c r="E147" s="21" t="s">
        <v>317</v>
      </c>
      <c r="F147" s="26" t="str">
        <f>IFERROR(INDEX(Alumnos!$B$2:$B$31,MATCH($E147,Alumnos!$A$2:$A$31,0))&amp;", "&amp;INDEX(Alumnos!$C$2:$C$31,MATCH($E147,Alumnos!$A$2:$A$31,0)),"")</f>
        <v>Medina, María</v>
      </c>
      <c r="G147" s="21" t="s">
        <v>17</v>
      </c>
      <c r="H147" s="22" t="s">
        <v>430</v>
      </c>
    </row>
    <row r="148" spans="1:8" x14ac:dyDescent="0.2">
      <c r="A148" s="21" t="s">
        <v>435</v>
      </c>
      <c r="B148" s="21">
        <v>3</v>
      </c>
      <c r="C148" s="21" t="s">
        <v>88</v>
      </c>
      <c r="D148" s="21" t="s">
        <v>17</v>
      </c>
      <c r="E148" s="21" t="s">
        <v>325</v>
      </c>
      <c r="F148" s="26" t="str">
        <f>IFERROR(INDEX(Alumnos!$B$2:$B$31,MATCH($E148,Alumnos!$A$2:$A$31,0))&amp;", "&amp;INDEX(Alumnos!$C$2:$C$31,MATCH($E148,Alumnos!$A$2:$A$31,0)),"")</f>
        <v>Molina, Facundo</v>
      </c>
      <c r="G148" s="21" t="s">
        <v>25</v>
      </c>
      <c r="H148" s="22"/>
    </row>
    <row r="149" spans="1:8" x14ac:dyDescent="0.2">
      <c r="A149" s="21" t="s">
        <v>435</v>
      </c>
      <c r="B149" s="21">
        <v>3</v>
      </c>
      <c r="C149" s="21" t="s">
        <v>88</v>
      </c>
      <c r="D149" s="21" t="s">
        <v>17</v>
      </c>
      <c r="E149" s="21" t="s">
        <v>332</v>
      </c>
      <c r="F149" s="26" t="str">
        <f>IFERROR(INDEX(Alumnos!$B$2:$B$31,MATCH($E149,Alumnos!$A$2:$A$31,0))&amp;", "&amp;INDEX(Alumnos!$C$2:$C$31,MATCH($E149,Alumnos!$A$2:$A$31,0)),"")</f>
        <v>Álvarez, Pilar</v>
      </c>
      <c r="G149" s="21" t="s">
        <v>17</v>
      </c>
      <c r="H149" s="22" t="s">
        <v>430</v>
      </c>
    </row>
    <row r="150" spans="1:8" x14ac:dyDescent="0.2">
      <c r="A150" s="21" t="s">
        <v>435</v>
      </c>
      <c r="B150" s="21">
        <v>3</v>
      </c>
      <c r="C150" s="21" t="s">
        <v>88</v>
      </c>
      <c r="D150" s="21" t="s">
        <v>17</v>
      </c>
      <c r="E150" s="21" t="s">
        <v>339</v>
      </c>
      <c r="F150" s="26" t="str">
        <f>IFERROR(INDEX(Alumnos!$B$2:$B$31,MATCH($E150,Alumnos!$A$2:$A$31,0))&amp;", "&amp;INDEX(Alumnos!$C$2:$C$31,MATCH($E150,Alumnos!$A$2:$A$31,0)),"")</f>
        <v>Suárez, Pilar</v>
      </c>
      <c r="G150" s="21" t="s">
        <v>25</v>
      </c>
      <c r="H150" s="22"/>
    </row>
    <row r="151" spans="1:8" x14ac:dyDescent="0.2">
      <c r="A151" s="21" t="s">
        <v>435</v>
      </c>
      <c r="B151" s="21">
        <v>3</v>
      </c>
      <c r="C151" s="21" t="s">
        <v>88</v>
      </c>
      <c r="D151" s="21" t="s">
        <v>17</v>
      </c>
      <c r="E151" s="21" t="s">
        <v>347</v>
      </c>
      <c r="F151" s="26" t="str">
        <f>IFERROR(INDEX(Alumnos!$B$2:$B$31,MATCH($E151,Alumnos!$A$2:$A$31,0))&amp;", "&amp;INDEX(Alumnos!$C$2:$C$31,MATCH($E151,Alumnos!$A$2:$A$31,0)),"")</f>
        <v>Sánchez, Facundo</v>
      </c>
      <c r="G151" s="21" t="s">
        <v>27</v>
      </c>
      <c r="H151" s="22"/>
    </row>
  </sheetData>
  <conditionalFormatting sqref="G2:G151">
    <cfRule type="cellIs" dxfId="72" priority="2" operator="equal">
      <formula>"Ausente"</formula>
    </cfRule>
    <cfRule type="cellIs" dxfId="71" priority="3" operator="equal">
      <formula>"Presente"</formula>
    </cfRule>
    <cfRule type="cellIs" dxfId="70" priority="4" operator="equal">
      <formula>"Tarde"</formula>
    </cfRule>
  </conditionalFormatting>
  <dataValidations count="1">
    <dataValidation type="list" allowBlank="1" sqref="G2:G651" xr:uid="{00000000-0002-0000-0600-000000000000}">
      <formula1>"Presente,Ausente,Tarde,Justificada"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Dashboard</vt:lpstr>
      <vt:lpstr>Instrucciones</vt:lpstr>
      <vt:lpstr>Alumnos</vt:lpstr>
      <vt:lpstr>Profesores</vt:lpstr>
      <vt:lpstr>Plan_Materias</vt:lpstr>
      <vt:lpstr>Notas</vt:lpstr>
      <vt:lpstr>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Felipe Cesar Acosta</cp:lastModifiedBy>
  <cp:revision>1</cp:revision>
  <dcterms:created xsi:type="dcterms:W3CDTF">2026-09-20T20:37:53Z</dcterms:created>
  <dcterms:modified xsi:type="dcterms:W3CDTF">2026-09-20T20:47:43Z</dcterms:modified>
  <dc:language>en-US</dc:language>
</cp:coreProperties>
</file>